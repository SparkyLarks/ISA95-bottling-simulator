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Z:\General\Demo Project\"/>
    </mc:Choice>
  </mc:AlternateContent>
  <xr:revisionPtr revIDLastSave="0" documentId="13_ncr:1_{20152A1C-E746-4943-867A-03823D9D0778}" xr6:coauthVersionLast="47" xr6:coauthVersionMax="47" xr10:uidLastSave="{00000000-0000-0000-0000-000000000000}"/>
  <bookViews>
    <workbookView xWindow="-120" yWindow="-120" windowWidth="29040" windowHeight="15720" tabRatio="500" activeTab="1" xr2:uid="{00000000-000D-0000-FFFF-FFFF00000000}"/>
  </bookViews>
  <sheets>
    <sheet name="README" sheetId="1" r:id="rId1"/>
    <sheet name="Equipment_Model" sheetId="2" r:id="rId2"/>
    <sheet name="Material_Classes" sheetId="3" r:id="rId3"/>
    <sheet name="Material_Defs" sheetId="4" r:id="rId4"/>
    <sheet name="Material_Lots" sheetId="5" r:id="rId5"/>
    <sheet name="Resources" sheetId="6" r:id="rId6"/>
    <sheet name="Process_Segments" sheetId="7" r:id="rId7"/>
    <sheet name="Work_Masters" sheetId="8" r:id="rId8"/>
    <sheet name="Production_Schedule" sheetId="9" r:id="rId9"/>
    <sheet name="KPI_Truth_Table" sheetId="10" r:id="rId10"/>
    <sheet name="Scope_Boundari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3" i="4" l="1"/>
  <c r="F12" i="4"/>
  <c r="F11" i="4"/>
  <c r="F10" i="4"/>
  <c r="F9" i="4"/>
  <c r="F8" i="4"/>
  <c r="F7" i="4"/>
  <c r="F6" i="4"/>
  <c r="F5" i="4"/>
  <c r="F4" i="4"/>
</calcChain>
</file>

<file path=xl/sharedStrings.xml><?xml version="1.0" encoding="utf-8"?>
<sst xmlns="http://schemas.openxmlformats.org/spreadsheetml/2006/main" count="1922" uniqueCount="1101">
  <si>
    <t>Bottling Line — ISA-95 Model Workbook</t>
  </si>
  <si>
    <t>Amárach StackWorks  |  Digital Twin Demo  |  v1.0  |  2026-02-26</t>
  </si>
  <si>
    <t>What Is This Workbook?</t>
  </si>
  <si>
    <t>This workbook is the Model Hub — the ISA-95 semantic foundation for the bottling line digital twin demo.</t>
  </si>
  <si>
    <t>It defines WHAT exists, WHAT is made, HOW it is made, and WHO/WHAT makes it — BEFORE any code is written.</t>
  </si>
  <si>
    <t>Real projects often start here in Excel before moving to a GraphDB or model server. This is honest about that.</t>
  </si>
  <si>
    <t>The data in this workbook drives: the Python simulator, the Node-RED flows, the TimeBase historian tags, and the MCP queries.</t>
  </si>
  <si>
    <t>Sheet Index</t>
  </si>
  <si>
    <t>Sheet</t>
  </si>
  <si>
    <t>ISA-95 Object</t>
  </si>
  <si>
    <t>Purpose</t>
  </si>
  <si>
    <t>Feeds Into</t>
  </si>
  <si>
    <t>Equipment_Model</t>
  </si>
  <si>
    <t>Physical Asset Model</t>
  </si>
  <si>
    <t>Hierarchy: Enterprise → Site → Area → Line → Station → Signal</t>
  </si>
  <si>
    <t>MQTT topics, Modbus map, Historian tags</t>
  </si>
  <si>
    <t>Material_Classes</t>
  </si>
  <si>
    <t>Material Class Model</t>
  </si>
  <si>
    <t>Defines categories of material: Liquids, Packaging, Consumables</t>
  </si>
  <si>
    <t>BOM, Process Segments</t>
  </si>
  <si>
    <t>Material_Defs</t>
  </si>
  <si>
    <t>Material Definition</t>
  </si>
  <si>
    <t>Specific SKUs, specs, hazard flags, volume targets</t>
  </si>
  <si>
    <t>Schedule, BOR, Simulator config</t>
  </si>
  <si>
    <t>Material_Lots</t>
  </si>
  <si>
    <t>Material Lot</t>
  </si>
  <si>
    <t>Lot-level tracking structure: what lot, what qty, what state</t>
  </si>
  <si>
    <t>Order transactions, Historian</t>
  </si>
  <si>
    <t>Resources</t>
  </si>
  <si>
    <t>Personnel &amp; Equipment Cap.</t>
  </si>
  <si>
    <t>Bill of Resources: what equipment/people each SKU needs</t>
  </si>
  <si>
    <t>Schedule validation, Changeover logic</t>
  </si>
  <si>
    <t>Process_Segments</t>
  </si>
  <si>
    <t>Process Segment</t>
  </si>
  <si>
    <t>Defined work steps: Fill, Cap, Label, CIP, Changeover</t>
  </si>
  <si>
    <t>Work Masters, Simulator state machine</t>
  </si>
  <si>
    <t>Work_Masters</t>
  </si>
  <si>
    <t>Work Master</t>
  </si>
  <si>
    <t>Work definitions linking segments to SKUs with parameters</t>
  </si>
  <si>
    <t>Production Schedule, Simulator orders</t>
  </si>
  <si>
    <t>Production_Schedule</t>
  </si>
  <si>
    <t>Work Schedule / Work Order</t>
  </si>
  <si>
    <t>Weekly schedule: shifts, orders, planned stops, changeovers</t>
  </si>
  <si>
    <t>Simulator execution engine</t>
  </si>
  <si>
    <t>KPI_Truth_Table</t>
  </si>
  <si>
    <t>Governance</t>
  </si>
  <si>
    <t>Single source of truth per KPI — prevents reconciliation drift</t>
  </si>
  <si>
    <t>Dashboard, MCP queries, Demo narrative</t>
  </si>
  <si>
    <t>Scope_Boundaries</t>
  </si>
  <si>
    <t>What this demo IS NOT — prevents scope creep</t>
  </si>
  <si>
    <t>All stakeholders, AI tools</t>
  </si>
  <si>
    <t>Equipment Model — ISA-95 Physical Asset Hierarchy</t>
  </si>
  <si>
    <t>ISA-95 Part 1 — Equipment Hierarchy. Each level inherits context from the level above. Topic structure mirrors this hierarchy.</t>
  </si>
  <si>
    <t>ISA-95 Level</t>
  </si>
  <si>
    <t>Object ID</t>
  </si>
  <si>
    <t>Name</t>
  </si>
  <si>
    <t>Description</t>
  </si>
  <si>
    <t>Parent ID</t>
  </si>
  <si>
    <t>State</t>
  </si>
  <si>
    <t>OEE Scope</t>
  </si>
  <si>
    <t>Notes</t>
  </si>
  <si>
    <t>Topic Prefix</t>
  </si>
  <si>
    <t>Enterprise</t>
  </si>
  <si>
    <t>ENT-001</t>
  </si>
  <si>
    <t>Top-level enterprise entity</t>
  </si>
  <si>
    <t>—</t>
  </si>
  <si>
    <t>Active</t>
  </si>
  <si>
    <t>No</t>
  </si>
  <si>
    <t>ISA-95 L4 boundary</t>
  </si>
  <si>
    <t>Site</t>
  </si>
  <si>
    <t>SITE-001</t>
  </si>
  <si>
    <t>Contains all bottling areas</t>
  </si>
  <si>
    <t>Area</t>
  </si>
  <si>
    <t>AREA-001</t>
  </si>
  <si>
    <t>Bottling</t>
  </si>
  <si>
    <t>Bottling production area</t>
  </si>
  <si>
    <t>Contains Line01</t>
  </si>
  <si>
    <t>Work Centre</t>
  </si>
  <si>
    <t>LINE-001</t>
  </si>
  <si>
    <t>Line01</t>
  </si>
  <si>
    <t>Single bottling line (full scope of demo)</t>
  </si>
  <si>
    <t>Yes — Line Level</t>
  </si>
  <si>
    <t>Master OEE unit</t>
  </si>
  <si>
    <t>telemetry/.../Line01/...</t>
  </si>
  <si>
    <t>Work Unit</t>
  </si>
  <si>
    <t>WU-001</t>
  </si>
  <si>
    <t>Infeed01</t>
  </si>
  <si>
    <t>Bottle supply and infeed conveyor</t>
  </si>
  <si>
    <t>Yes — Contributing</t>
  </si>
  <si>
    <t>Starved = Availability loss</t>
  </si>
  <si>
    <t>telemetry/.../Infeed01/...</t>
  </si>
  <si>
    <t>WU-002</t>
  </si>
  <si>
    <t>Filler01</t>
  </si>
  <si>
    <t>Fill-by-weight filler (120 mL/sec nominal)</t>
  </si>
  <si>
    <t>Yes — Bottleneck</t>
  </si>
  <si>
    <t>Rate = Performance KPI</t>
  </si>
  <si>
    <t>telemetry/.../Filler01/...</t>
  </si>
  <si>
    <t>WU-003</t>
  </si>
  <si>
    <t>Capper01</t>
  </si>
  <si>
    <t>Torque-controlled capper</t>
  </si>
  <si>
    <t>Torque OOS = Quality loss</t>
  </si>
  <si>
    <t>telemetry/.../Capper01/...</t>
  </si>
  <si>
    <t>WU-004</t>
  </si>
  <si>
    <t>Checkweigher01</t>
  </si>
  <si>
    <t>Gross weight verification</t>
  </si>
  <si>
    <t>Reject trigger</t>
  </si>
  <si>
    <t>telemetry/.../Checkweigher01/...</t>
  </si>
  <si>
    <t>WU-005</t>
  </si>
  <si>
    <t>Labeller01</t>
  </si>
  <si>
    <t>Primary label applicator</t>
  </si>
  <si>
    <t>Label stock = Availability</t>
  </si>
  <si>
    <t>telemetry/.../Labeller01/...</t>
  </si>
  <si>
    <t>WU-006</t>
  </si>
  <si>
    <t>Scanner01</t>
  </si>
  <si>
    <t>Barcode verification scanner</t>
  </si>
  <si>
    <t>Rescan count = hidden loss</t>
  </si>
  <si>
    <t>telemetry/.../Scanner01/...</t>
  </si>
  <si>
    <t>WU-007</t>
  </si>
  <si>
    <t>Labeller02</t>
  </si>
  <si>
    <t>Secondary/hazard label applicator</t>
  </si>
  <si>
    <t>Conditional</t>
  </si>
  <si>
    <t>Only active for hazard SKUs</t>
  </si>
  <si>
    <t>telemetry/.../Labeller02/...</t>
  </si>
  <si>
    <t>WU-008</t>
  </si>
  <si>
    <t>RejectPusher01</t>
  </si>
  <si>
    <t>Reject divert actuator</t>
  </si>
  <si>
    <t>Yes — Quality</t>
  </si>
  <si>
    <t>Reject count drives yield</t>
  </si>
  <si>
    <t>telemetry/.../RejectPusher01/...</t>
  </si>
  <si>
    <t>WU-009</t>
  </si>
  <si>
    <t>CIP01</t>
  </si>
  <si>
    <t>Clean-In-Place system</t>
  </si>
  <si>
    <t>Yes — Planned downtime</t>
  </si>
  <si>
    <t>45 min fixed duration</t>
  </si>
  <si>
    <t>telemetry/.../CIP01/...</t>
  </si>
  <si>
    <t>Signal Register — Each Work Unit exposes the following signals (matches Modbus register map and historian tag list)</t>
  </si>
  <si>
    <t>Signal ID</t>
  </si>
  <si>
    <t>Signal Name</t>
  </si>
  <si>
    <t>Data Type</t>
  </si>
  <si>
    <t>Units</t>
  </si>
  <si>
    <t>Modbus Register</t>
  </si>
  <si>
    <t>Quality Mode</t>
  </si>
  <si>
    <t>Direction</t>
  </si>
  <si>
    <t>SIG-L01</t>
  </si>
  <si>
    <t>line_state</t>
  </si>
  <si>
    <t>String</t>
  </si>
  <si>
    <t>40001</t>
  </si>
  <si>
    <t>GOOD/BAD</t>
  </si>
  <si>
    <t>Read</t>
  </si>
  <si>
    <t>IDLE/RUNNING/MICROSTOP/STOPPED/FAULT/CHANGEOVER/CIP</t>
  </si>
  <si>
    <t>SIG-L02</t>
  </si>
  <si>
    <t>line_speed_bpm</t>
  </si>
  <si>
    <t>Float</t>
  </si>
  <si>
    <t>bpm</t>
  </si>
  <si>
    <t>40002</t>
  </si>
  <si>
    <t>Bottles per minute, nominal varies by SKU</t>
  </si>
  <si>
    <t>SIG-L03</t>
  </si>
  <si>
    <t>good_count</t>
  </si>
  <si>
    <t>Int</t>
  </si>
  <si>
    <t>count</t>
  </si>
  <si>
    <t>40003</t>
  </si>
  <si>
    <t>GOOD</t>
  </si>
  <si>
    <t>Monotonic — never reset during shift</t>
  </si>
  <si>
    <t>SIG-L04</t>
  </si>
  <si>
    <t>reject_count</t>
  </si>
  <si>
    <t>40004</t>
  </si>
  <si>
    <t>SIG-L05</t>
  </si>
  <si>
    <t>current_order_id</t>
  </si>
  <si>
    <t>40005</t>
  </si>
  <si>
    <t>Active order ID, null if IDLE</t>
  </si>
  <si>
    <t>SIG-L06</t>
  </si>
  <si>
    <t>current_sku</t>
  </si>
  <si>
    <t>40006</t>
  </si>
  <si>
    <t>Active SKU ID</t>
  </si>
  <si>
    <t>SIG-I01</t>
  </si>
  <si>
    <t>bottle_presence</t>
  </si>
  <si>
    <t>Bool</t>
  </si>
  <si>
    <t>40010</t>
  </si>
  <si>
    <t>True = bottle present at sensor</t>
  </si>
  <si>
    <t>SIG-I02</t>
  </si>
  <si>
    <t>infeed_rate_bpm</t>
  </si>
  <si>
    <t>40011</t>
  </si>
  <si>
    <t>Infeed conveyor rate</t>
  </si>
  <si>
    <t>SIG-I03</t>
  </si>
  <si>
    <t>starved</t>
  </si>
  <si>
    <t>40012</t>
  </si>
  <si>
    <t>True = no bottles available</t>
  </si>
  <si>
    <t>SIG-I04</t>
  </si>
  <si>
    <t>jam_detected</t>
  </si>
  <si>
    <t>40013</t>
  </si>
  <si>
    <t>True = jam condition active</t>
  </si>
  <si>
    <t>SIG-F01</t>
  </si>
  <si>
    <t>target_weight_g</t>
  </si>
  <si>
    <t>g</t>
  </si>
  <si>
    <t>40020</t>
  </si>
  <si>
    <t>SKU-defined target fill weight</t>
  </si>
  <si>
    <t>SIG-F02</t>
  </si>
  <si>
    <t>actual_weight_g</t>
  </si>
  <si>
    <t>40021</t>
  </si>
  <si>
    <t>GOOD/UNCERTAIN</t>
  </si>
  <si>
    <t>Measured fill weight, UNCERTAIN during fill</t>
  </si>
  <si>
    <t>SIG-F03</t>
  </si>
  <si>
    <t>fill_time_ms</t>
  </si>
  <si>
    <t>ms</t>
  </si>
  <si>
    <t>40022</t>
  </si>
  <si>
    <t>Duration of last fill cycle</t>
  </si>
  <si>
    <t>SIG-F04</t>
  </si>
  <si>
    <t>scale_stable</t>
  </si>
  <si>
    <t>40023</t>
  </si>
  <si>
    <t>False during fill stabilisation (MS02 indicator)</t>
  </si>
  <si>
    <t>SIG-F05</t>
  </si>
  <si>
    <t>drip_sensor</t>
  </si>
  <si>
    <t>40024</t>
  </si>
  <si>
    <t>True = drip detected post-fill (MS03 indicator)</t>
  </si>
  <si>
    <t>SIG-C01</t>
  </si>
  <si>
    <t>torque_target_ncm</t>
  </si>
  <si>
    <t>Ncm</t>
  </si>
  <si>
    <t>40030</t>
  </si>
  <si>
    <t>SKU-defined torque target</t>
  </si>
  <si>
    <t>SIG-C02</t>
  </si>
  <si>
    <t>torque_actual_ncm</t>
  </si>
  <si>
    <t>40031</t>
  </si>
  <si>
    <t>Measured torque, UNCERTAIN during cap cycle</t>
  </si>
  <si>
    <t>SIG-C03</t>
  </si>
  <si>
    <t>torque_in_spec</t>
  </si>
  <si>
    <t>40032</t>
  </si>
  <si>
    <t>False triggers MS05 recheck</t>
  </si>
  <si>
    <t>SIG-C04</t>
  </si>
  <si>
    <t>cap_feed_ok</t>
  </si>
  <si>
    <t>40033</t>
  </si>
  <si>
    <t>False = cap chute issue (MS04 indicator)</t>
  </si>
  <si>
    <t>SIG-W01</t>
  </si>
  <si>
    <t>gross_weight_g</t>
  </si>
  <si>
    <t>40040</t>
  </si>
  <si>
    <t>Gross weight after capping</t>
  </si>
  <si>
    <t>SIG-W02</t>
  </si>
  <si>
    <t>weight_in_spec</t>
  </si>
  <si>
    <t>40041</t>
  </si>
  <si>
    <t>False = triggers reject</t>
  </si>
  <si>
    <t>SIG-W03</t>
  </si>
  <si>
    <t>rezero_active</t>
  </si>
  <si>
    <t>40042</t>
  </si>
  <si>
    <t>True = scale re-zeroing (MS06 indicator)</t>
  </si>
  <si>
    <t>SIG-LA1</t>
  </si>
  <si>
    <t>label_applied</t>
  </si>
  <si>
    <t>40050</t>
  </si>
  <si>
    <t>Confirmation of label application</t>
  </si>
  <si>
    <t>SIG-LA2</t>
  </si>
  <si>
    <t>label_sensor_ok</t>
  </si>
  <si>
    <t>40051</t>
  </si>
  <si>
    <t>False = label peelback (MS07 indicator)</t>
  </si>
  <si>
    <t>SIG-LA3</t>
  </si>
  <si>
    <t>label_stock_level</t>
  </si>
  <si>
    <t>%</t>
  </si>
  <si>
    <t>40052</t>
  </si>
  <si>
    <t>0–100, low triggers ST07</t>
  </si>
  <si>
    <t>SIG-S01</t>
  </si>
  <si>
    <t>barcode_read_ok</t>
  </si>
  <si>
    <t>40060</t>
  </si>
  <si>
    <t>False on first scan triggers MS08</t>
  </si>
  <si>
    <t>SIG-S02</t>
  </si>
  <si>
    <t>barcode_string</t>
  </si>
  <si>
    <t>40061</t>
  </si>
  <si>
    <t>Scanned barcode value</t>
  </si>
  <si>
    <t>SIG-S03</t>
  </si>
  <si>
    <t>rescan_count</t>
  </si>
  <si>
    <t>40062</t>
  </si>
  <si>
    <t>Number of retries this cycle</t>
  </si>
  <si>
    <t>SIG-LB1</t>
  </si>
  <si>
    <t>hazard_label_required</t>
  </si>
  <si>
    <t>40070</t>
  </si>
  <si>
    <t>Driven by SKU hazard flag</t>
  </si>
  <si>
    <t>SIG-LB2</t>
  </si>
  <si>
    <t>hazard_label_applied</t>
  </si>
  <si>
    <t>40071</t>
  </si>
  <si>
    <t>Confirms secondary label applied</t>
  </si>
  <si>
    <t>SIG-LB3</t>
  </si>
  <si>
    <t>hazard_label_stock</t>
  </si>
  <si>
    <t>40072</t>
  </si>
  <si>
    <t>Stock level for hazard labels</t>
  </si>
  <si>
    <t>SIG-R01</t>
  </si>
  <si>
    <t>reject_triggered</t>
  </si>
  <si>
    <t>40080</t>
  </si>
  <si>
    <t>True = reject event active</t>
  </si>
  <si>
    <t>SIG-R02</t>
  </si>
  <si>
    <t>reject_reason_code</t>
  </si>
  <si>
    <t>40081</t>
  </si>
  <si>
    <t>Which check failed</t>
  </si>
  <si>
    <t>SIG-R03</t>
  </si>
  <si>
    <t>pusher_cycle_time_ms</t>
  </si>
  <si>
    <t>40082</t>
  </si>
  <si>
    <t>Slow return = MS09 indicator</t>
  </si>
  <si>
    <t>Material Classes — ISA-95 Part 2 Material Model</t>
  </si>
  <si>
    <t>ISA-95 defines Material Class as a grouping of materials sharing common properties. Classes sit above Material Definitions (SKUs). Lots belong to Definitions.</t>
  </si>
  <si>
    <t>Class ID</t>
  </si>
  <si>
    <t>Class Name</t>
  </si>
  <si>
    <t>Class Type</t>
  </si>
  <si>
    <t>Parent Class</t>
  </si>
  <si>
    <t>Key Properties</t>
  </si>
  <si>
    <t>Used In</t>
  </si>
  <si>
    <t>MC-001</t>
  </si>
  <si>
    <t>Liquid</t>
  </si>
  <si>
    <t>Raw Material</t>
  </si>
  <si>
    <t>All liquid product bases used in filling</t>
  </si>
  <si>
    <t>density_g_ml, viscosity, pH, allergen_flag</t>
  </si>
  <si>
    <t>Filler01, CIP01</t>
  </si>
  <si>
    <t>Base class for all consumable liquids</t>
  </si>
  <si>
    <t>MC-001-A</t>
  </si>
  <si>
    <t>Carbonated Liquid</t>
  </si>
  <si>
    <t>Fizzy product bases — require pressure-fill handling</t>
  </si>
  <si>
    <t>carbonation_vol, pressure_bar</t>
  </si>
  <si>
    <t>Subclass of Liquid — Cola variants</t>
  </si>
  <si>
    <t>MC-001-B</t>
  </si>
  <si>
    <t>Non-Carbonated Liquid</t>
  </si>
  <si>
    <t>Still product bases — standard fill</t>
  </si>
  <si>
    <t>Subclass of Liquid — Lemon variants</t>
  </si>
  <si>
    <t>MC-002</t>
  </si>
  <si>
    <t>Finished Bottle</t>
  </si>
  <si>
    <t>Finished Good</t>
  </si>
  <si>
    <t>Filled, capped, labelled bottle ready for despatch</t>
  </si>
  <si>
    <t>volume_ml, sku_id, lot_id, fill_weight_g</t>
  </si>
  <si>
    <t>All stations</t>
  </si>
  <si>
    <t>Master output class</t>
  </si>
  <si>
    <t>MC-003</t>
  </si>
  <si>
    <t>Primary Packaging</t>
  </si>
  <si>
    <t>Packaging Material</t>
  </si>
  <si>
    <t>Bottles — the containers</t>
  </si>
  <si>
    <t>material_type, volume_ml, neck_diameter_mm</t>
  </si>
  <si>
    <t>Glass or PET depending on SKU</t>
  </si>
  <si>
    <t>MC-004</t>
  </si>
  <si>
    <t>Closure</t>
  </si>
  <si>
    <t>Caps / closures</t>
  </si>
  <si>
    <t>cap_type, torque_spec_ncm</t>
  </si>
  <si>
    <t>Subclass drives cap feed setup</t>
  </si>
  <si>
    <t>MC-005</t>
  </si>
  <si>
    <t>Primary Label</t>
  </si>
  <si>
    <t>Front label — product identity</t>
  </si>
  <si>
    <t>sku_id, artwork_ref, market</t>
  </si>
  <si>
    <t>Changeover required per SKU label group</t>
  </si>
  <si>
    <t>MC-006</t>
  </si>
  <si>
    <t>Secondary Label</t>
  </si>
  <si>
    <t>Hazard / regulatory label</t>
  </si>
  <si>
    <t>regulation_ref, hazard_class</t>
  </si>
  <si>
    <t>Only applied when SKU.hazard_flag = True</t>
  </si>
  <si>
    <t>MC-007</t>
  </si>
  <si>
    <t>CIP Chemical</t>
  </si>
  <si>
    <t>Consumable</t>
  </si>
  <si>
    <t>Cleaning chemicals for CIP cycle</t>
  </si>
  <si>
    <t>chemical_type, concentration, temperature_C</t>
  </si>
  <si>
    <t>Not tracked per bottle — tracked per CIP event</t>
  </si>
  <si>
    <t>Material Definitions — SKU Specifications (ISA-95 Material Definition)</t>
  </si>
  <si>
    <t>Material Definition = specific, versioned definition of a material. One SKU = one Material Definition. A Lot is a specific production batch of a Definition.</t>
  </si>
  <si>
    <t>SKU ID</t>
  </si>
  <si>
    <t>SKU Name</t>
  </si>
  <si>
    <t>Material Class</t>
  </si>
  <si>
    <t>Liquid Base</t>
  </si>
  <si>
    <t>Volume (mL)</t>
  </si>
  <si>
    <t>Target Weight (g)</t>
  </si>
  <si>
    <t>Torque Spec (Ncm)</t>
  </si>
  <si>
    <t>Hazard Flag</t>
  </si>
  <si>
    <t>Market</t>
  </si>
  <si>
    <t>Label Group</t>
  </si>
  <si>
    <t>Line Speed (bpm)</t>
  </si>
  <si>
    <t>LEM-200-IE</t>
  </si>
  <si>
    <t>Lemon 200mL (IE)</t>
  </si>
  <si>
    <t>Lemon Base</t>
  </si>
  <si>
    <t>200</t>
  </si>
  <si>
    <t>32</t>
  </si>
  <si>
    <t>FALSE</t>
  </si>
  <si>
    <t>Ireland</t>
  </si>
  <si>
    <t>LBL-A</t>
  </si>
  <si>
    <t>120</t>
  </si>
  <si>
    <t>Standard still — fast fill</t>
  </si>
  <si>
    <t>LEM-500-IE</t>
  </si>
  <si>
    <t>Lemon 500mL (IE)</t>
  </si>
  <si>
    <t>500</t>
  </si>
  <si>
    <t>34</t>
  </si>
  <si>
    <t>100</t>
  </si>
  <si>
    <t>Mid-size — typical daily runner</t>
  </si>
  <si>
    <t>LEM-2L-IE</t>
  </si>
  <si>
    <t>Lemon 2L (IE)</t>
  </si>
  <si>
    <t>2000</t>
  </si>
  <si>
    <t>36</t>
  </si>
  <si>
    <t>60</t>
  </si>
  <si>
    <t>Large format — slow fill cycle</t>
  </si>
  <si>
    <t>LEM-6L-IE</t>
  </si>
  <si>
    <t>Lemon 6L (IE)</t>
  </si>
  <si>
    <t>6000</t>
  </si>
  <si>
    <t>40</t>
  </si>
  <si>
    <t>30</t>
  </si>
  <si>
    <t>Very long fill — 50s cycle</t>
  </si>
  <si>
    <t>DL-200-IE</t>
  </si>
  <si>
    <t>Diet Lemon 200mL</t>
  </si>
  <si>
    <t>Diet Lemon Base</t>
  </si>
  <si>
    <t>LBL-B</t>
  </si>
  <si>
    <t>Same format, different base</t>
  </si>
  <si>
    <t>DL-500-IE</t>
  </si>
  <si>
    <t>Diet Lemon 500mL</t>
  </si>
  <si>
    <t>COL-500-IE</t>
  </si>
  <si>
    <t>Cola 500mL (IE)</t>
  </si>
  <si>
    <t>Cola Base</t>
  </si>
  <si>
    <t>LBL-C</t>
  </si>
  <si>
    <t>95</t>
  </si>
  <si>
    <t>Carbonated — pressure fill</t>
  </si>
  <si>
    <t>COL-2L-IE</t>
  </si>
  <si>
    <t>Cola 2L (IE)</t>
  </si>
  <si>
    <t>55</t>
  </si>
  <si>
    <t>Carbonated large format</t>
  </si>
  <si>
    <t>DC-500-IE</t>
  </si>
  <si>
    <t>Diet Cola 500mL</t>
  </si>
  <si>
    <t>Diet Cola Base</t>
  </si>
  <si>
    <t>TRUE</t>
  </si>
  <si>
    <t>LBL-D</t>
  </si>
  <si>
    <t>HAZARD: requires secondary label</t>
  </si>
  <si>
    <t>DC-500-UK</t>
  </si>
  <si>
    <t>Diet Cola 500mL (UK)</t>
  </si>
  <si>
    <t>UK</t>
  </si>
  <si>
    <t>LBL-E</t>
  </si>
  <si>
    <t>HAZARD: UK market secondary label</t>
  </si>
  <si>
    <t>Liquid Base Definitions (referenced by SKUs above)</t>
  </si>
  <si>
    <t>Base ID</t>
  </si>
  <si>
    <t>Base Name</t>
  </si>
  <si>
    <t>Class</t>
  </si>
  <si>
    <t>Density (g/mL)</t>
  </si>
  <si>
    <t>Carbonated</t>
  </si>
  <si>
    <t>pH</t>
  </si>
  <si>
    <t>Allergen Flag</t>
  </si>
  <si>
    <t>Colour</t>
  </si>
  <si>
    <t>CIP Required After</t>
  </si>
  <si>
    <t>BASE-LEM</t>
  </si>
  <si>
    <t>1.01</t>
  </si>
  <si>
    <t>3.2</t>
  </si>
  <si>
    <t>Yellow</t>
  </si>
  <si>
    <t>After 4 orders</t>
  </si>
  <si>
    <t>Still citrus</t>
  </si>
  <si>
    <t>BASE-DL</t>
  </si>
  <si>
    <t>1.02</t>
  </si>
  <si>
    <t>3.0</t>
  </si>
  <si>
    <t>Pale Yellow</t>
  </si>
  <si>
    <t>Low calorie still citrus</t>
  </si>
  <si>
    <t>BASE-COL</t>
  </si>
  <si>
    <t>1.04</t>
  </si>
  <si>
    <t>Yes — 3.2 vol</t>
  </si>
  <si>
    <t>2.8</t>
  </si>
  <si>
    <t>Dark Brown</t>
  </si>
  <si>
    <t>After liquid change</t>
  </si>
  <si>
    <t>Carbonated — pressure handling req.</t>
  </si>
  <si>
    <t>BASE-DC</t>
  </si>
  <si>
    <t>Yes — 3.0 vol</t>
  </si>
  <si>
    <t>2.7</t>
  </si>
  <si>
    <t>HAZARD BASE — drives secondary label</t>
  </si>
  <si>
    <t>Material Lots — ISA-95 Lot Tracking Structure</t>
  </si>
  <si>
    <t>A Material Lot is a uniquely identified quantity of a specific Material Definition. Lots are created when production starts (OrderStarted). State transitions are driven by transaction events. Lot ID = Material Definition ID + Date + Sequence. This sheet defines the LOT SCHEMA — actual lots are generated by the simulator.</t>
  </si>
  <si>
    <t>Lot Schema — Fields Present on Every Lot Record</t>
  </si>
  <si>
    <t>Field</t>
  </si>
  <si>
    <t>Required</t>
  </si>
  <si>
    <t>Source</t>
  </si>
  <si>
    <t>Example</t>
  </si>
  <si>
    <t>ISA-95 Ref</t>
  </si>
  <si>
    <t>Historian Tag</t>
  </si>
  <si>
    <t>lot_id</t>
  </si>
  <si>
    <t>Yes</t>
  </si>
  <si>
    <t>System-generated</t>
  </si>
  <si>
    <t>Unique lot identifier</t>
  </si>
  <si>
    <t>LEM-500-IE-20260226-001</t>
  </si>
  <si>
    <t>MaterialLot.id</t>
  </si>
  <si>
    <t>Format: SKU-YYYYMMDD-SEQ</t>
  </si>
  <si>
    <t>material_def_id</t>
  </si>
  <si>
    <t>Schedule</t>
  </si>
  <si>
    <t>Which SKU this lot belongs to</t>
  </si>
  <si>
    <t>MaterialDefinition.id</t>
  </si>
  <si>
    <t>FK to Material_Defs</t>
  </si>
  <si>
    <t>order_id</t>
  </si>
  <si>
    <t>OrderStarted event</t>
  </si>
  <si>
    <t>Which production order created this lot</t>
  </si>
  <si>
    <t>ORD-0003</t>
  </si>
  <si>
    <t>WorkOrder.id</t>
  </si>
  <si>
    <t>FK to Production_Schedule</t>
  </si>
  <si>
    <t>lot_state</t>
  </si>
  <si>
    <t>Enum</t>
  </si>
  <si>
    <t>Transaction events</t>
  </si>
  <si>
    <t>Current lifecycle state</t>
  </si>
  <si>
    <t>ACTIVE</t>
  </si>
  <si>
    <t>MaterialLot.state</t>
  </si>
  <si>
    <t>PLANNED/ACTIVE/COMPLETE/QUARANTINE/SCRAPPED</t>
  </si>
  <si>
    <t>planned_qty</t>
  </si>
  <si>
    <t>Planned quantity for this lot</t>
  </si>
  <si>
    <t>5000</t>
  </si>
  <si>
    <t>MaterialLot.quantity</t>
  </si>
  <si>
    <t>Bottles, from schedule</t>
  </si>
  <si>
    <t>good_qty</t>
  </si>
  <si>
    <t>good_count delta</t>
  </si>
  <si>
    <t>Actual good bottles produced</t>
  </si>
  <si>
    <t>4920</t>
  </si>
  <si>
    <t>Monotonic delta: OrderCompleted - OrderStarted</t>
  </si>
  <si>
    <t>reject_qty</t>
  </si>
  <si>
    <t>reject_count delta</t>
  </si>
  <si>
    <t>Actual rejects</t>
  </si>
  <si>
    <t>80</t>
  </si>
  <si>
    <t>Monotonic delta at order boundary</t>
  </si>
  <si>
    <t>yield_pct</t>
  </si>
  <si>
    <t>Calculated</t>
  </si>
  <si>
    <t>good_qty / planned_qty</t>
  </si>
  <si>
    <t>98.4%</t>
  </si>
  <si>
    <t>N/A</t>
  </si>
  <si>
    <t>lot_start_ts</t>
  </si>
  <si>
    <t>DateTime</t>
  </si>
  <si>
    <t>OrderStarted.ts</t>
  </si>
  <si>
    <t>When production started</t>
  </si>
  <si>
    <t>2026-02-24T08:02:14Z</t>
  </si>
  <si>
    <t>ISO 8601 UTC</t>
  </si>
  <si>
    <t>lot_end_ts</t>
  </si>
  <si>
    <t>OrderCompleted.ts</t>
  </si>
  <si>
    <t>When production ended</t>
  </si>
  <si>
    <t>2026-02-24T10:14:33Z</t>
  </si>
  <si>
    <t>Null until complete</t>
  </si>
  <si>
    <t>liquid_base_id</t>
  </si>
  <si>
    <t>Which liquid base was used</t>
  </si>
  <si>
    <t>Drives CIP trigger logic</t>
  </si>
  <si>
    <t>cip_required_after</t>
  </si>
  <si>
    <t>Derived</t>
  </si>
  <si>
    <t>Was CIP triggered after this lot</t>
  </si>
  <si>
    <t>True if liquid change or 4th order</t>
  </si>
  <si>
    <t>operator_id</t>
  </si>
  <si>
    <t>Operator input</t>
  </si>
  <si>
    <t>Who ran the order</t>
  </si>
  <si>
    <t>OPR-001</t>
  </si>
  <si>
    <t>PersonnelActual</t>
  </si>
  <si>
    <t>Optional in demo</t>
  </si>
  <si>
    <t>notes</t>
  </si>
  <si>
    <t>Free text notes</t>
  </si>
  <si>
    <t>Optional</t>
  </si>
  <si>
    <t>Lot State Machine — Driven by Transaction Events</t>
  </si>
  <si>
    <t>From State</t>
  </si>
  <si>
    <t>To State</t>
  </si>
  <si>
    <t>Triggering Event</t>
  </si>
  <si>
    <t>Who Triggers</t>
  </si>
  <si>
    <t>Condition</t>
  </si>
  <si>
    <t>PLANNED</t>
  </si>
  <si>
    <t>Schedule created</t>
  </si>
  <si>
    <t>System/MES</t>
  </si>
  <si>
    <t>Order appears in schedule</t>
  </si>
  <si>
    <t>Lot ID assigned at this point</t>
  </si>
  <si>
    <t>OrderStarted</t>
  </si>
  <si>
    <t>Simulator</t>
  </si>
  <si>
    <t>Order execution begins</t>
  </si>
  <si>
    <t>good_count delta resets at this boundary</t>
  </si>
  <si>
    <t>COMPLETE</t>
  </si>
  <si>
    <t>OrderCompleted</t>
  </si>
  <si>
    <t>Planned qty reached or shift end</t>
  </si>
  <si>
    <t>Yield calculated</t>
  </si>
  <si>
    <t>QUARANTINE</t>
  </si>
  <si>
    <t>FaultRaised (Major)</t>
  </si>
  <si>
    <t>BD-M1/M2/M3 during active order</t>
  </si>
  <si>
    <t>Operator must release or scrap</t>
  </si>
  <si>
    <t>FaultCleared</t>
  </si>
  <si>
    <t>Operator</t>
  </si>
  <si>
    <t>Fault resolved</t>
  </si>
  <si>
    <t>Production resumes</t>
  </si>
  <si>
    <t>SCRAPPED</t>
  </si>
  <si>
    <t>Manual</t>
  </si>
  <si>
    <t>Quality decision</t>
  </si>
  <si>
    <t>Lot removed from good count</t>
  </si>
  <si>
    <t>Terminal state</t>
  </si>
  <si>
    <t>No further transitions</t>
  </si>
  <si>
    <t>Resources — Bill of Resources (BOR) &amp; Equipment Capability</t>
  </si>
  <si>
    <t>ISA-95 defines Resources as Equipment, Personnel, and Material needed to execute a Process Segment. The BOR maps each SKU to the resources it requires. This drives changeover logic, schedule validation, and capacity planning.</t>
  </si>
  <si>
    <t>Bill of Resources — Per SKU Equipment Requirements</t>
  </si>
  <si>
    <t>Lemon 200mL</t>
  </si>
  <si>
    <t>Not Required</t>
  </si>
  <si>
    <t>No hazard label</t>
  </si>
  <si>
    <t>Lemon 500mL</t>
  </si>
  <si>
    <t>Lemon 2L</t>
  </si>
  <si>
    <t>Long fill cycle — 16.7s</t>
  </si>
  <si>
    <t>Lemon 6L</t>
  </si>
  <si>
    <t>Very long fill — 50s</t>
  </si>
  <si>
    <t>Cola 500mL</t>
  </si>
  <si>
    <t>Pressure fill — reduced speed</t>
  </si>
  <si>
    <t>Cola 2L</t>
  </si>
  <si>
    <t>Pressure fill large format</t>
  </si>
  <si>
    <t>Diet Cola 500mL IE</t>
  </si>
  <si>
    <t>HAZARD — Labeller02 active</t>
  </si>
  <si>
    <t>Diet Cola 500mL UK</t>
  </si>
  <si>
    <t>HAZARD — UK label variant</t>
  </si>
  <si>
    <t>Changeover Matrix — Duration by Change Type</t>
  </si>
  <si>
    <t>Changeover Type</t>
  </si>
  <si>
    <t>Code</t>
  </si>
  <si>
    <t>Duration (min)</t>
  </si>
  <si>
    <t>Triggers When</t>
  </si>
  <si>
    <t>Equipment Affected</t>
  </si>
  <si>
    <t>CIP After?</t>
  </si>
  <si>
    <t>State During</t>
  </si>
  <si>
    <t>Label Change</t>
  </si>
  <si>
    <t>ST01</t>
  </si>
  <si>
    <t>20–40</t>
  </si>
  <si>
    <t>Different label group, same SKU family</t>
  </si>
  <si>
    <t>Labeller01, Labeller02</t>
  </si>
  <si>
    <t>CHANGEOVER</t>
  </si>
  <si>
    <t>Fastest — no liquid or size change</t>
  </si>
  <si>
    <t>Size Change</t>
  </si>
  <si>
    <t>ST02</t>
  </si>
  <si>
    <t>35–60</t>
  </si>
  <si>
    <t>Different bottle volume, same liquid</t>
  </si>
  <si>
    <t>Infeed01, Filler01, Capper01, Checkweigher01</t>
  </si>
  <si>
    <t>Mechanical adjustments required</t>
  </si>
  <si>
    <t>Liquid Change</t>
  </si>
  <si>
    <t>ST03</t>
  </si>
  <si>
    <t>60–120</t>
  </si>
  <si>
    <t>Different liquid base</t>
  </si>
  <si>
    <t>All stations, CIP01</t>
  </si>
  <si>
    <t>Yes — 45 min CIP</t>
  </si>
  <si>
    <t>CHANGEOVER then CIP</t>
  </si>
  <si>
    <t>Longest — full clean required</t>
  </si>
  <si>
    <t>Process Segments — ISA-95 Part 2 Process Model</t>
  </si>
  <si>
    <t>A Process Segment defines a named piece of work that can be performed, the resources it needs, and the parameters that govern it. Process Segments are the building blocks of Work Masters. They are reusable, version-controlled, and SKU-independent where possible.</t>
  </si>
  <si>
    <t>Segment ID</t>
  </si>
  <si>
    <t>Segment Name</t>
  </si>
  <si>
    <t>Type</t>
  </si>
  <si>
    <t>Duration Basis</t>
  </si>
  <si>
    <t>Key Parameters</t>
  </si>
  <si>
    <t>Input Materials</t>
  </si>
  <si>
    <t>Output Materials</t>
  </si>
  <si>
    <t>Equipment Required</t>
  </si>
  <si>
    <t>PS-001</t>
  </si>
  <si>
    <t>Infeed &amp; Bottle Supply</t>
  </si>
  <si>
    <t>Production</t>
  </si>
  <si>
    <t>Continuous while running</t>
  </si>
  <si>
    <t>infeed_rate_bpm, jam_threshold</t>
  </si>
  <si>
    <t>MC-003 (Empty bottles)</t>
  </si>
  <si>
    <t>RUNNING</t>
  </si>
  <si>
    <t>Starved condition = Availability loss</t>
  </si>
  <si>
    <t>PS-002</t>
  </si>
  <si>
    <t>Fill Cycle</t>
  </si>
  <si>
    <t>Volume / FillRate (120 mL/sec)</t>
  </si>
  <si>
    <t>target_weight_g, fill_rate_mls, noise_pct±3</t>
  </si>
  <si>
    <t>MC-001-x (Liquid base)</t>
  </si>
  <si>
    <t>Partially filled bottle</t>
  </si>
  <si>
    <t>MS02 occurs when scale_stable=false. Carbonated SKUs run at 95% fill rate.</t>
  </si>
  <si>
    <t>PS-003</t>
  </si>
  <si>
    <t>Cap Application</t>
  </si>
  <si>
    <t>~2 sec/cycle</t>
  </si>
  <si>
    <t>torque_target_ncm, torque_tolerance_pct±5</t>
  </si>
  <si>
    <t>MC-004 (Caps)</t>
  </si>
  <si>
    <t>Capped bottle</t>
  </si>
  <si>
    <t>MS04=cap feed stutter. MS05=torque recheck. Out-of-spec = reject.</t>
  </si>
  <si>
    <t>PS-004</t>
  </si>
  <si>
    <t>Weight Verification</t>
  </si>
  <si>
    <t>~1 sec/cycle</t>
  </si>
  <si>
    <t>weight_spec_g, tolerance_pct±2</t>
  </si>
  <si>
    <t>Verified bottle</t>
  </si>
  <si>
    <t>MS06=rezero. Failed weight = reject trigger.</t>
  </si>
  <si>
    <t>PS-005</t>
  </si>
  <si>
    <t>Primary Labelling</t>
  </si>
  <si>
    <t>~1.5 sec/cycle</t>
  </si>
  <si>
    <t>label_group, label_stock_alert_pct=20</t>
  </si>
  <si>
    <t>MC-005 (Primary labels)</t>
  </si>
  <si>
    <t>Labelled bottle</t>
  </si>
  <si>
    <t>MS07=label peelback. Low stock triggers ST07 (label stockout).</t>
  </si>
  <si>
    <t>PS-006</t>
  </si>
  <si>
    <t>Barcode Scan</t>
  </si>
  <si>
    <t>~0.5 sec/cycle + rescan</t>
  </si>
  <si>
    <t>barcode_format, max_rescan=3</t>
  </si>
  <si>
    <t>Scanned bottle</t>
  </si>
  <si>
    <t>MS08=rescan. &gt;3 rescans = reject.</t>
  </si>
  <si>
    <t>PS-007</t>
  </si>
  <si>
    <t>Hazard Labelling</t>
  </si>
  <si>
    <t>hazard_label_required (from SKU), hazard_stock_alert=20</t>
  </si>
  <si>
    <t>MC-006 (Hazard labels)</t>
  </si>
  <si>
    <t>Double-labelled bottle</t>
  </si>
  <si>
    <t>Only executed when SKU.hazard_flag=True. Skipped otherwise.</t>
  </si>
  <si>
    <t>PS-008</t>
  </si>
  <si>
    <t>Reject Divert</t>
  </si>
  <si>
    <t>~0.8 sec cycle</t>
  </si>
  <si>
    <t>reject_reason_code, pusher_cycle_time_threshold_ms=800</t>
  </si>
  <si>
    <t>Failed bottle</t>
  </si>
  <si>
    <t>Rejected bottle to bin</t>
  </si>
  <si>
    <t>MS09=slow pusher return. Reject reason logged per bottle.</t>
  </si>
  <si>
    <t>PS-009</t>
  </si>
  <si>
    <t>Label Changeover</t>
  </si>
  <si>
    <t>Changeover</t>
  </si>
  <si>
    <t>20–40 min</t>
  </si>
  <si>
    <t>from_label_group, to_label_group, duration_min</t>
  </si>
  <si>
    <t>ST01. No CIP required.</t>
  </si>
  <si>
    <t>PS-010</t>
  </si>
  <si>
    <t>Size Changeover</t>
  </si>
  <si>
    <t>35–60 min</t>
  </si>
  <si>
    <t>from_volume_ml, to_volume_ml</t>
  </si>
  <si>
    <t>ST02. Mechanical adjustments. No CIP.</t>
  </si>
  <si>
    <t>PS-011</t>
  </si>
  <si>
    <t>Liquid Changeover</t>
  </si>
  <si>
    <t>60–120 min + 45 min CIP</t>
  </si>
  <si>
    <t>from_base_id, to_base_id</t>
  </si>
  <si>
    <t>ST03. Must be followed by PS-012 (CIP).</t>
  </si>
  <si>
    <t>PS-012</t>
  </si>
  <si>
    <t>CIP Cycle</t>
  </si>
  <si>
    <t>Cleaning</t>
  </si>
  <si>
    <t>45 min fixed</t>
  </si>
  <si>
    <t>cip_chemical_id, temperature_C=65, flow_rate</t>
  </si>
  <si>
    <t>MC-007 (CIP chemicals)</t>
  </si>
  <si>
    <t>CIP01 + all wetted paths</t>
  </si>
  <si>
    <t>CIP</t>
  </si>
  <si>
    <t>Mandatory after liquid change. Optional after 3–4 orders. Blocks production.</t>
  </si>
  <si>
    <t>PS-013</t>
  </si>
  <si>
    <t>Planned Lunch Break</t>
  </si>
  <si>
    <t>Downtime</t>
  </si>
  <si>
    <t>30 min</t>
  </si>
  <si>
    <t>break_start_time</t>
  </si>
  <si>
    <t>STOPPED</t>
  </si>
  <si>
    <t>ST04. Scheduled. Not a fault.</t>
  </si>
  <si>
    <t>PS-014</t>
  </si>
  <si>
    <t>Major Breakdown Recovery</t>
  </si>
  <si>
    <t>Unplanned Downtime</t>
  </si>
  <si>
    <t>~60 min</t>
  </si>
  <si>
    <t>fault_code, severity=Major</t>
  </si>
  <si>
    <t>Depends on fault</t>
  </si>
  <si>
    <t>FAULT</t>
  </si>
  <si>
    <t>BD-M1/M2/M3. Requires maintenance intervention.</t>
  </si>
  <si>
    <t>Work Masters — ISA-95 Part 4 Operations Model</t>
  </si>
  <si>
    <t>A Work Master is the template for executing a specific type of production. It assembles Process Segments, binds SKU-specific parameters, and defines the sequence. Work Orders in the schedule reference a Work Master. One Work Master per SKU family / operation type.</t>
  </si>
  <si>
    <t>Work Master ID</t>
  </si>
  <si>
    <t>Work Master Name</t>
  </si>
  <si>
    <t>Applicable SKUs</t>
  </si>
  <si>
    <t>Ordered Segments</t>
  </si>
  <si>
    <t>Nominal Speed (bpm)</t>
  </si>
  <si>
    <t>Nominal Yield Target</t>
  </si>
  <si>
    <t>CIP Trigger Rule</t>
  </si>
  <si>
    <t>Version</t>
  </si>
  <si>
    <t>Status</t>
  </si>
  <si>
    <t>WM-001</t>
  </si>
  <si>
    <t>Standard Still Fill — Small</t>
  </si>
  <si>
    <t>LEM-200-IE, DL-200-IE</t>
  </si>
  <si>
    <t>PS-001 → PS-002 → PS-003 → PS-004 → PS-005 → PS-006 → PS-008</t>
  </si>
  <si>
    <t>98.5%</t>
  </si>
  <si>
    <t>After 4 orders or liquid change</t>
  </si>
  <si>
    <t>v1</t>
  </si>
  <si>
    <t>No hazard label. Fastest cycle. Filler target = volume × 1.01</t>
  </si>
  <si>
    <t>WM-002</t>
  </si>
  <si>
    <t>Standard Still Fill — 500mL</t>
  </si>
  <si>
    <t>LEM-500-IE, DL-500-IE</t>
  </si>
  <si>
    <t>98.0%</t>
  </si>
  <si>
    <t>Mid-size. Most common daily runner.</t>
  </si>
  <si>
    <t>WM-003</t>
  </si>
  <si>
    <t>Standard Still Fill — Large</t>
  </si>
  <si>
    <t>97.5%</t>
  </si>
  <si>
    <t>Fill time 16.7s — expect more MS02 events on this SKU</t>
  </si>
  <si>
    <t>WM-004</t>
  </si>
  <si>
    <t>Standard Still Fill — XL</t>
  </si>
  <si>
    <t>97.0%</t>
  </si>
  <si>
    <t>50s fill cycle. Lowest speed. Few bottles per hour.</t>
  </si>
  <si>
    <t>WM-005</t>
  </si>
  <si>
    <t>Carbonated Fill — Standard</t>
  </si>
  <si>
    <t>COL-500-IE, COL-2L-IE</t>
  </si>
  <si>
    <t>After liquid change (mandatory)</t>
  </si>
  <si>
    <t>Pressure fill. Fill rate slightly reduced. Liquid changeover always triggers CIP.</t>
  </si>
  <si>
    <t>WM-006</t>
  </si>
  <si>
    <t>Hazard Fill — Diet Cola</t>
  </si>
  <si>
    <t>DC-500-IE, DC-500-UK</t>
  </si>
  <si>
    <t>PS-001 → PS-002 → PS-003 → PS-004 → PS-005 → PS-006 → PS-007 → PS-008</t>
  </si>
  <si>
    <t>Hazard label (PS-007) inserted before reject check. Labeller02 active.</t>
  </si>
  <si>
    <t>WM-007</t>
  </si>
  <si>
    <t>Any — triggered by label group change</t>
  </si>
  <si>
    <t>ST01. Standalone work master — not a production segment.</t>
  </si>
  <si>
    <t>WM-008</t>
  </si>
  <si>
    <t>Any — triggered by volume change</t>
  </si>
  <si>
    <t>ST02. 35–60 min.</t>
  </si>
  <si>
    <t>WM-009</t>
  </si>
  <si>
    <t>Liquid Changeover + CIP</t>
  </si>
  <si>
    <t>Any — triggered by base change</t>
  </si>
  <si>
    <t>PS-011 → PS-012</t>
  </si>
  <si>
    <t>Yes — PS-012 is mandatory</t>
  </si>
  <si>
    <t>ST03 + CIP. Total: up to 165 min.</t>
  </si>
  <si>
    <t>WM-010</t>
  </si>
  <si>
    <t>CIP Only</t>
  </si>
  <si>
    <t>Any — triggered by order count rule</t>
  </si>
  <si>
    <t>Yes — this IS the CIP</t>
  </si>
  <si>
    <t>45 min. Occurs after 3–4 orders when no liquid change.</t>
  </si>
  <si>
    <t>Production Schedule — Weekly Work Orders (MES Layer)</t>
  </si>
  <si>
    <t>Week: 2026-02-23 (Mon) to 2026-02-27 (Fri). 2 shifts/day (06:00–14:00, 14:00–22:00). 3 planned changeovers. 1+ CIP cycles. 3 major breakdowns (inserted). Minor stops distributed by simulator.</t>
  </si>
  <si>
    <t>Order ID</t>
  </si>
  <si>
    <t>Day</t>
  </si>
  <si>
    <t>Shift</t>
  </si>
  <si>
    <t>Planned Qty</t>
  </si>
  <si>
    <t>Planned Start</t>
  </si>
  <si>
    <t>Planned End</t>
  </si>
  <si>
    <t>Planned Duration (min)</t>
  </si>
  <si>
    <t>Preceding Event</t>
  </si>
  <si>
    <t>Priority</t>
  </si>
  <si>
    <t>Order State</t>
  </si>
  <si>
    <t>Actual Duration (min)</t>
  </si>
  <si>
    <t>ORD-001</t>
  </si>
  <si>
    <t>Mon</t>
  </si>
  <si>
    <t>Shift 1</t>
  </si>
  <si>
    <t>4000</t>
  </si>
  <si>
    <t>2026-02-23T06:00:00Z</t>
  </si>
  <si>
    <t>2026-02-23T08:40:00Z</t>
  </si>
  <si>
    <t>160</t>
  </si>
  <si>
    <t>Shift Start</t>
  </si>
  <si>
    <t>1</t>
  </si>
  <si>
    <t>Opening order — line warm-up expected</t>
  </si>
  <si>
    <t>ORD-002</t>
  </si>
  <si>
    <t>3000</t>
  </si>
  <si>
    <t>2026-02-23T11:10:00Z</t>
  </si>
  <si>
    <t>150</t>
  </si>
  <si>
    <t>ORD-001 + Label CO (ST01)</t>
  </si>
  <si>
    <t>2</t>
  </si>
  <si>
    <t>CHANGEOVER #1: Label change LBL-A same group — 20-25 min</t>
  </si>
  <si>
    <t>ORD-003</t>
  </si>
  <si>
    <t>1200</t>
  </si>
  <si>
    <t>2026-02-23T13:30:00Z</t>
  </si>
  <si>
    <t>140</t>
  </si>
  <si>
    <t>ORD-002 + Size CO (ST02)</t>
  </si>
  <si>
    <t>3</t>
  </si>
  <si>
    <t>CHANGEOVER #2: Size change 200→2L — 40 min. BD-M1 inserted here (Filler scale failure ~60 min)</t>
  </si>
  <si>
    <t>CIP-001</t>
  </si>
  <si>
    <t>2026-02-23T14:15:00Z</t>
  </si>
  <si>
    <t>45</t>
  </si>
  <si>
    <t>ORD-003 (4th order trigger)</t>
  </si>
  <si>
    <t>CIP after 3 orders (MON shift 1 had 3 orders)</t>
  </si>
  <si>
    <t>ORD-004</t>
  </si>
  <si>
    <t>Shift 2</t>
  </si>
  <si>
    <t>3800</t>
  </si>
  <si>
    <t>2026-02-23T17:00:00Z</t>
  </si>
  <si>
    <t>165</t>
  </si>
  <si>
    <t>CIP-001 + Liquid CO (ST03)</t>
  </si>
  <si>
    <t>4</t>
  </si>
  <si>
    <t>CHANGEOVER #3: Liquid change Still→Cola — 60-90 min. Liquid CO includes CIP already.</t>
  </si>
  <si>
    <t>ORD-005</t>
  </si>
  <si>
    <t>2500</t>
  </si>
  <si>
    <t>2026-02-23T19:30:00Z</t>
  </si>
  <si>
    <t>5</t>
  </si>
  <si>
    <t>Hazard SKU — Labeller02 active. BD-M2 inserted here (Capper torque sensor ~60 min)</t>
  </si>
  <si>
    <t>ST04-001</t>
  </si>
  <si>
    <t>Lunch Break</t>
  </si>
  <si>
    <t>2026-02-23T20:00:00Z</t>
  </si>
  <si>
    <t>Scheduled</t>
  </si>
  <si>
    <t>30 min planned break</t>
  </si>
  <si>
    <t>ORD-006</t>
  </si>
  <si>
    <t>800</t>
  </si>
  <si>
    <t>2026-02-23T21:45:00Z</t>
  </si>
  <si>
    <t>105</t>
  </si>
  <si>
    <t>ST04-001 + Size CO (ST02)</t>
  </si>
  <si>
    <t>6</t>
  </si>
  <si>
    <t>Size change 500→2L</t>
  </si>
  <si>
    <t>ORD-007</t>
  </si>
  <si>
    <t>Tue</t>
  </si>
  <si>
    <t>2026-02-24T06:00:00Z</t>
  </si>
  <si>
    <t>2026-02-24T09:20:00Z</t>
  </si>
  <si>
    <t>Shift Start + Liquid CO (ST03)</t>
  </si>
  <si>
    <t>7</t>
  </si>
  <si>
    <t>Return to still. Liquid changeover Cola→Lemon. BD-M3 inserted mid-order (Checkweigher loadcell)</t>
  </si>
  <si>
    <t>ORD-008</t>
  </si>
  <si>
    <t>2026-02-24T12:00:00Z</t>
  </si>
  <si>
    <t>8</t>
  </si>
  <si>
    <t>Continuation same SKU</t>
  </si>
  <si>
    <t>ORD-009</t>
  </si>
  <si>
    <t>300</t>
  </si>
  <si>
    <t>2026-02-24T13:40:00Z</t>
  </si>
  <si>
    <t>ORD-008 + Size CO (ST02)</t>
  </si>
  <si>
    <t>9</t>
  </si>
  <si>
    <t>6L format — very slow 50s fill. High MS02 risk due to large volume</t>
  </si>
  <si>
    <t>CIP-002</t>
  </si>
  <si>
    <t>2026-02-24T14:25:00Z</t>
  </si>
  <si>
    <t>ORD-009 (4th order trigger)</t>
  </si>
  <si>
    <t>ORD-010</t>
  </si>
  <si>
    <t>2026-02-24T17:00:00Z</t>
  </si>
  <si>
    <t>155</t>
  </si>
  <si>
    <t>CIP-002 + Liquid CO (ST03)</t>
  </si>
  <si>
    <t>10</t>
  </si>
  <si>
    <t>UK hazard variant — different secondary label. Liquid CO Still→Cola incl CIP</t>
  </si>
  <si>
    <t>ORD-011</t>
  </si>
  <si>
    <t>4500</t>
  </si>
  <si>
    <t>2026-02-24T21:30:00Z</t>
  </si>
  <si>
    <t>270</t>
  </si>
  <si>
    <t>ORD-010 + Liquid CO (ST03)</t>
  </si>
  <si>
    <t>11</t>
  </si>
  <si>
    <t>Long order. Cola→Still liquid CO. Minor stops distributed here</t>
  </si>
  <si>
    <t>ORD-012</t>
  </si>
  <si>
    <t>Wed</t>
  </si>
  <si>
    <t>2026-02-25T06:00:00Z</t>
  </si>
  <si>
    <t>2026-02-25T08:55:00Z</t>
  </si>
  <si>
    <t>175</t>
  </si>
  <si>
    <t>Shift Start + Size CO</t>
  </si>
  <si>
    <t>12</t>
  </si>
  <si>
    <t>Size change 500→200mL</t>
  </si>
  <si>
    <t>ORD-013</t>
  </si>
  <si>
    <t>1500</t>
  </si>
  <si>
    <t>2026-02-25T11:30:00Z</t>
  </si>
  <si>
    <t>ORD-012 + Size CO</t>
  </si>
  <si>
    <t>13</t>
  </si>
  <si>
    <t>Size change 200→2L</t>
  </si>
  <si>
    <t>ORD-014</t>
  </si>
  <si>
    <t>3500</t>
  </si>
  <si>
    <t>2026-02-25T13:50:00Z</t>
  </si>
  <si>
    <t>ORD-013 + Size CO</t>
  </si>
  <si>
    <t>14</t>
  </si>
  <si>
    <t>4th order — CIP follows</t>
  </si>
  <si>
    <t>CIP-003</t>
  </si>
  <si>
    <t>2026-02-25T14:35:00Z</t>
  </si>
  <si>
    <t>ORD-015</t>
  </si>
  <si>
    <t>2026-02-25T18:00:00Z</t>
  </si>
  <si>
    <t>205</t>
  </si>
  <si>
    <t>CIP-003 + Liquid CO (ST03)</t>
  </si>
  <si>
    <t>15</t>
  </si>
  <si>
    <t>Liquid CO Still→Cola</t>
  </si>
  <si>
    <t>ORD-016</t>
  </si>
  <si>
    <t>2026-02-25T19:00:00Z</t>
  </si>
  <si>
    <t>2026-02-25T21:00:00Z</t>
  </si>
  <si>
    <t>ST04 + Liquid CO</t>
  </si>
  <si>
    <t>16</t>
  </si>
  <si>
    <t>Lunch break + Liquid CO Cola→Still</t>
  </si>
  <si>
    <t>ORD-017</t>
  </si>
  <si>
    <t>Thu</t>
  </si>
  <si>
    <t>2026-02-26T06:00:00Z</t>
  </si>
  <si>
    <t>2026-02-26T10:20:00Z</t>
  </si>
  <si>
    <t>260</t>
  </si>
  <si>
    <t>17</t>
  </si>
  <si>
    <t>Long run — minor stops distributed</t>
  </si>
  <si>
    <t>ORD-018</t>
  </si>
  <si>
    <t>2026-02-26T14:00:00Z</t>
  </si>
  <si>
    <t>2026-02-26T18:00:00Z</t>
  </si>
  <si>
    <t>240</t>
  </si>
  <si>
    <t>Liquid CO</t>
  </si>
  <si>
    <t>18</t>
  </si>
  <si>
    <t>Hazard run</t>
  </si>
  <si>
    <t>ORD-019</t>
  </si>
  <si>
    <t>Fri</t>
  </si>
  <si>
    <t>2026-02-27T06:00:00Z</t>
  </si>
  <si>
    <t>2026-02-27T10:30:00Z</t>
  </si>
  <si>
    <t>Shift Start + Liquid CO</t>
  </si>
  <si>
    <t>19</t>
  </si>
  <si>
    <t>End of week</t>
  </si>
  <si>
    <t>ORD-020</t>
  </si>
  <si>
    <t>2026-02-27T14:00:00Z</t>
  </si>
  <si>
    <t>2026-02-27T17:30:00Z</t>
  </si>
  <si>
    <t>210</t>
  </si>
  <si>
    <t>Size CO</t>
  </si>
  <si>
    <t>20</t>
  </si>
  <si>
    <t>Final order of week</t>
  </si>
  <si>
    <t>KPI Truth Table — Single Source of Truth Per KPI</t>
  </si>
  <si>
    <t>RULE: Each KPI has exactly ONE authoritative source. No other system may derive, override, or restate this value independently. This table is agreed before any dashboard, query, or AI output is built. Deviations must be raised as governance issues.</t>
  </si>
  <si>
    <t>KPI</t>
  </si>
  <si>
    <t>Source of Truth</t>
  </si>
  <si>
    <t>How Calculated</t>
  </si>
  <si>
    <t>Reset Rule</t>
  </si>
  <si>
    <t>AI Can Query?</t>
  </si>
  <si>
    <t>AI Can Override?</t>
  </si>
  <si>
    <t>Dashboard Source</t>
  </si>
  <si>
    <t>Good Count</t>
  </si>
  <si>
    <t>Master counter (monotonic)</t>
  </si>
  <si>
    <t>Cumulative increment at BottleCompleted where result=GOOD</t>
  </si>
  <si>
    <t>NEVER reset during shift. Delta per order = OrderCompleted.good_count - OrderStarted.good_count</t>
  </si>
  <si>
    <t>Yes — read only</t>
  </si>
  <si>
    <t>NO — NEVER</t>
  </si>
  <si>
    <t>TimeBase tag: Line01/good_count</t>
  </si>
  <si>
    <t>Monotonic. If reset occurs, it is a data quality event.</t>
  </si>
  <si>
    <t>Reject Count</t>
  </si>
  <si>
    <t>Cumulative increment at BottleCompleted where result=REJECT</t>
  </si>
  <si>
    <t>NEVER reset during shift. Delta per order at order boundary.</t>
  </si>
  <si>
    <t>TimeBase tag: Line01/reject_count</t>
  </si>
  <si>
    <t>Same monotonic rule as good count.</t>
  </si>
  <si>
    <t>Lot Count</t>
  </si>
  <si>
    <t>COUNT of OrderStarted events in time window</t>
  </si>
  <si>
    <t>N/A — derived count, no reset</t>
  </si>
  <si>
    <t>TimeBase / event store</t>
  </si>
  <si>
    <t>Not a running counter — always a count query.</t>
  </si>
  <si>
    <t>Shift Count</t>
  </si>
  <si>
    <t>Master counter (time slice)</t>
  </si>
  <si>
    <t>Delta of good_count across shift boundary timestamps</t>
  </si>
  <si>
    <t>Shift boundary = scheduled start/end time from Production_Schedule</t>
  </si>
  <si>
    <t>TimeBase: time-windowed query</t>
  </si>
  <si>
    <t>Do not maintain a separate shift counter. Slice the master.</t>
  </si>
  <si>
    <t>Availability</t>
  </si>
  <si>
    <t>State machine transitions</t>
  </si>
  <si>
    <t>RUNNING_time / (RUNNING_time + UNPLANNED_STOP_time)</t>
  </si>
  <si>
    <t>Per order. Per shift. Per day. Always time-window based.</t>
  </si>
  <si>
    <t>TimeBase: StateChanged events</t>
  </si>
  <si>
    <t>Planned stops (CIP, Changeover, Lunch) are excluded from denominator.</t>
  </si>
  <si>
    <t>Performance</t>
  </si>
  <si>
    <t>Line speed</t>
  </si>
  <si>
    <t>Actual bpm / Ideal bpm for active SKU</t>
  </si>
  <si>
    <t>Per order</t>
  </si>
  <si>
    <t>TimeBase: line_speed_bpm</t>
  </si>
  <si>
    <t>Ideal speed from Work Master nominal speed.</t>
  </si>
  <si>
    <t>Quality</t>
  </si>
  <si>
    <t>Reject rate</t>
  </si>
  <si>
    <t>good_count / (good_count + reject_count)</t>
  </si>
  <si>
    <t>Per order, per shift</t>
  </si>
  <si>
    <t>Master counters</t>
  </si>
  <si>
    <t>Not from a separate QC system in Phase 1.</t>
  </si>
  <si>
    <t>OEE</t>
  </si>
  <si>
    <t>Availability × Performance × Quality</t>
  </si>
  <si>
    <t>Dashboard formula</t>
  </si>
  <si>
    <t>Never store OEE as a tag. Always recalculate from components.</t>
  </si>
  <si>
    <t>Microstops</t>
  </si>
  <si>
    <t>Derived historian patterns</t>
  </si>
  <si>
    <t>Signal correlation in TimeBase — NOT operator-coded</t>
  </si>
  <si>
    <t>Per query window</t>
  </si>
  <si>
    <t>Yes — DISCOVERY ONLY</t>
  </si>
  <si>
    <t>NO — PATTERN SUGGEST ONLY</t>
  </si>
  <si>
    <t>TimeBase MCP query</t>
  </si>
  <si>
    <t>AI role = discover and suggest. Human validates and maps.</t>
  </si>
  <si>
    <t>Long Stop Duration</t>
  </si>
  <si>
    <t>Operator ReasonID</t>
  </si>
  <si>
    <t>StopStarted.ts → StopEnded.ts for codes ST01–ST10</t>
  </si>
  <si>
    <t>Per event</t>
  </si>
  <si>
    <t>TimeBase: StopStarted/Ended events</t>
  </si>
  <si>
    <t>ReasonID entered by operator. Not inferred.</t>
  </si>
  <si>
    <t>CIP Duration</t>
  </si>
  <si>
    <t>CIPStarted.ts → CIPEnded.ts</t>
  </si>
  <si>
    <t>TimeBase: CIPStarted/Ended</t>
  </si>
  <si>
    <t>Fixed 45 min. Deviation = anomaly.</t>
  </si>
  <si>
    <t>Order Yield</t>
  </si>
  <si>
    <t>Lot record</t>
  </si>
  <si>
    <t>good_count_delta / planned_qty for that order</t>
  </si>
  <si>
    <t>Per order at OrderCompleted</t>
  </si>
  <si>
    <t>Lot record in schedule</t>
  </si>
  <si>
    <t>Stored on lot record. Not recalculated post-close.</t>
  </si>
  <si>
    <t>Scope Boundaries — What This Demo IS and IS NOT</t>
  </si>
  <si>
    <t>This document is an immutable boundary definition. It protects demo integrity against scope creep, AI drift, and stakeholder assumption. Any proposed addition must be evaluated against these boundaries explicitly.</t>
  </si>
  <si>
    <t>✅  What This Demo IS</t>
  </si>
  <si>
    <t>Item</t>
  </si>
  <si>
    <t>Why It's In Scope</t>
  </si>
  <si>
    <t>Output</t>
  </si>
  <si>
    <t>Acceptance Criterion</t>
  </si>
  <si>
    <t>ISA-95 Model in Excel</t>
  </si>
  <si>
    <t>Equipment, Material, Resource, Process Segment, Work Master objects in workbook</t>
  </si>
  <si>
    <t>Shows the model-first approach. Honest that projects start in Excel.</t>
  </si>
  <si>
    <t>This workbook</t>
  </si>
  <si>
    <t>All objects defined before code written</t>
  </si>
  <si>
    <t>Python Modbus Simulator</t>
  </si>
  <si>
    <t>Bottling line station simulation exposing signals over Modbus TCP</t>
  </si>
  <si>
    <t>Provides realistic machine data without real hardware. Configurable speed factor.</t>
  </si>
  <si>
    <t>Running Python process</t>
  </si>
  <si>
    <t>Signals readable by Node-RED on Modbus</t>
  </si>
  <si>
    <t>Node-RED Telemetry Flow</t>
  </si>
  <si>
    <t>Modbus poll → MQTT publish with governed topic structure</t>
  </si>
  <si>
    <t>Demonstrates the telemetry plane. Separates data acquisition from processing.</t>
  </si>
  <si>
    <t>MQTT messages per data contract</t>
  </si>
  <si>
    <t>Topics match ISA-95 hierarchy in DATA_CONTRACT.md</t>
  </si>
  <si>
    <t>TimeBase Historian</t>
  </si>
  <si>
    <t>Tag-based time-series storage of all telemetry signals</t>
  </si>
  <si>
    <t>Provides the memory layer for microstop correlation.</t>
  </si>
  <si>
    <t>Queryable historian</t>
  </si>
  <si>
    <t>MCP can retrieve signal history</t>
  </si>
  <si>
    <t>Microstop Discovery Dashboard</t>
  </si>
  <si>
    <t>Single page: microstops grouped by derived pattern, not operator code</t>
  </si>
  <si>
    <t>Shows the core problem: hidden loss invisible to operators.</t>
  </si>
  <si>
    <t>React/HTML dashboard</t>
  </si>
  <si>
    <t>Top 5 microstop types visible with frequency and duration</t>
  </si>
  <si>
    <t>MCP + Claude Integration</t>
  </si>
  <si>
    <t>MCP server queries TimeBase. Claude surfaces patterns. Human validates.</t>
  </si>
  <si>
    <t>The AI interrogation layer. Proves the architecture value.</t>
  </si>
  <si>
    <t>Claude can answer: top stops, fill deviation, breakdown impact</t>
  </si>
  <si>
    <t>Human can validate Claude's output against known simulator truth</t>
  </si>
  <si>
    <t>AI Role: Pattern Discovery Only</t>
  </si>
  <si>
    <t>Claude discovers signal patterns. Does not reclassify or override events.</t>
  </si>
  <si>
    <t>Maintains demo credibility. Humans stay in control.</t>
  </si>
  <si>
    <t>Claude outputs suggestions only</t>
  </si>
  <si>
    <t>No automated reclassification ever occurs</t>
  </si>
  <si>
    <t>❌  What This Demo IS NOT</t>
  </si>
  <si>
    <t>What It Would Mean</t>
  </si>
  <si>
    <t>Why It's Out of Scope</t>
  </si>
  <si>
    <t>If Asked For:</t>
  </si>
  <si>
    <t>A Full MES</t>
  </si>
  <si>
    <t>Complete manufacturing execution: work orders, labour tracking, genealogy, deviations, CAPA</t>
  </si>
  <si>
    <t>Complexity would obscure the architectural point. Months of work.</t>
  </si>
  <si>
    <t>Acknowledge, defer to Phase 2</t>
  </si>
  <si>
    <t>A Full ERP Integration</t>
  </si>
  <si>
    <t>SAP/Oracle order management, procurement, inventory, financial posting</t>
  </si>
  <si>
    <t>Not the problem this demo solves. Adds noise.</t>
  </si>
  <si>
    <t>Acknowledge, out of scope</t>
  </si>
  <si>
    <t>A PLC Emulator</t>
  </si>
  <si>
    <t>Real Modbus device simulation with hardware-accurate timing, ladder logic, I/O modules</t>
  </si>
  <si>
    <t>Python Modbus server is sufficient for the demo. PLC accuracy not required.</t>
  </si>
  <si>
    <t>Clarify: Python Modbus IS the 'PLC' for demo purposes</t>
  </si>
  <si>
    <t>B2MML Compliant Payloads</t>
  </si>
  <si>
    <t>Full XML/JSON payloads per B2MML (Business to Manufacturing Markup Language)</t>
  </si>
  <si>
    <t>Compliance level not needed for demo. Data contract covers what is needed.</t>
  </si>
  <si>
    <t>Acknowledge, note B2MML is Phase 2+ consideration</t>
  </si>
  <si>
    <t>A Perfect OEE Implementation</t>
  </si>
  <si>
    <t>ISO 22400-compliant OEE with all six big losses, shift calendars, planned rates</t>
  </si>
  <si>
    <t>The demo shows microstop discovery, not a complete OEE product.</t>
  </si>
  <si>
    <t>Redirect: this is a microstop discovery demo, not an OEE platform</t>
  </si>
  <si>
    <t>Multi-Line Simulation</t>
  </si>
  <si>
    <t>Second or third production line running in parallel</t>
  </si>
  <si>
    <t>Single line keeps the architecture legible for the audience.</t>
  </si>
  <si>
    <t>Acknowledge, out of scope in Phase 1</t>
  </si>
  <si>
    <t>Real Hardware Integration</t>
  </si>
  <si>
    <t>Connecting to a real PLC, sensor, or SCADA system</t>
  </si>
  <si>
    <t>No real hardware in scope. All data is synthetic from Python simulator.</t>
  </si>
  <si>
    <t>This is a demo / training platform only</t>
  </si>
  <si>
    <t>Automated AI Reclassification</t>
  </si>
  <si>
    <t>Claude or any AI layer changing production event classifications without human validation</t>
  </si>
  <si>
    <t>Phase 1 AI role = Pattern Discovery Only. Reclassification = human decision.</t>
  </si>
  <si>
    <t>Hard no. This is a governance boundary, not a technical one.</t>
  </si>
  <si>
    <t>Amarach</t>
  </si>
  <si>
    <t>Crosshaven</t>
  </si>
  <si>
    <t>Manufacturing site — Crosshaven, IE</t>
  </si>
  <si>
    <t>telemetry/Amarach/...</t>
  </si>
  <si>
    <t>telemetryAmarach/Crosshaven/...</t>
  </si>
  <si>
    <t>telemetryAmarach/Crosshaven/Bottling/...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</si>
</sst>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FFFFFF"/>
      <name val="Arial"/>
      <charset val="1"/>
    </font>
    <font>
      <sz val="10"/>
      <color rgb="FFFFFFFF"/>
      <name val="Arial"/>
      <charset val="1"/>
    </font>
    <font>
      <b/>
      <sz val="12"/>
      <color rgb="FFFFFFFF"/>
      <name val="Arial"/>
      <charset val="1"/>
    </font>
    <font>
      <sz val="10"/>
      <color rgb="FF000000"/>
      <name val="Arial"/>
      <charset val="1"/>
    </font>
    <font>
      <b/>
      <sz val="10"/>
      <color rgb="FFFFFFFF"/>
      <name val="Arial"/>
      <charset val="1"/>
    </font>
    <font>
      <b/>
      <sz val="14"/>
      <color rgb="FFFFFFFF"/>
      <name val="Arial"/>
      <charset val="1"/>
    </font>
    <font>
      <b/>
      <sz val="11"/>
      <color rgb="FFFFFFFF"/>
      <name val="Arial"/>
      <charset val="1"/>
    </font>
    <font>
      <b/>
      <sz val="9"/>
      <color rgb="FFFFFFFF"/>
      <name val="Arial"/>
      <charset val="1"/>
    </font>
    <font>
      <sz val="9"/>
      <color rgb="FFFFFFFF"/>
      <name val="Arial"/>
      <charset val="1"/>
    </font>
    <font>
      <sz val="9"/>
      <color rgb="FF000000"/>
      <name val="Arial"/>
      <charset val="1"/>
    </font>
    <font>
      <b/>
      <sz val="10"/>
      <color rgb="FFC00000"/>
      <name val="Arial"/>
      <charset val="1"/>
    </font>
  </fonts>
  <fills count="20">
    <fill>
      <patternFill patternType="none"/>
    </fill>
    <fill>
      <patternFill patternType="gray125"/>
    </fill>
    <fill>
      <patternFill patternType="solid">
        <fgColor rgb="FF1F3864"/>
        <bgColor rgb="FF333333"/>
      </patternFill>
    </fill>
    <fill>
      <patternFill patternType="solid">
        <fgColor rgb="FF2E75B6"/>
        <bgColor rgb="FF4472C4"/>
      </patternFill>
    </fill>
    <fill>
      <patternFill patternType="solid">
        <fgColor rgb="FFFFFFFF"/>
        <bgColor rgb="FFF2F2F2"/>
      </patternFill>
    </fill>
    <fill>
      <patternFill patternType="solid">
        <fgColor rgb="FFBDD7EE"/>
        <bgColor rgb="FF99CCFF"/>
      </patternFill>
    </fill>
    <fill>
      <patternFill patternType="solid">
        <fgColor rgb="FFF2F2F2"/>
        <bgColor rgb="FFE2EFDA"/>
      </patternFill>
    </fill>
    <fill>
      <patternFill patternType="solid">
        <fgColor rgb="FF4472C4"/>
        <bgColor rgb="FF2E75B6"/>
      </patternFill>
    </fill>
    <fill>
      <patternFill patternType="solid">
        <fgColor rgb="FF70AD47"/>
        <bgColor rgb="FF339966"/>
      </patternFill>
    </fill>
    <fill>
      <patternFill patternType="solid">
        <fgColor rgb="FF595959"/>
        <bgColor rgb="FF333333"/>
      </patternFill>
    </fill>
    <fill>
      <patternFill patternType="solid">
        <fgColor rgb="FFED7D31"/>
        <bgColor rgb="FFFF7F7F"/>
      </patternFill>
    </fill>
    <fill>
      <patternFill patternType="solid">
        <fgColor rgb="FF7030A0"/>
        <bgColor rgb="FF993366"/>
      </patternFill>
    </fill>
    <fill>
      <patternFill patternType="solid">
        <fgColor rgb="FFC00000"/>
        <bgColor rgb="FF800000"/>
      </patternFill>
    </fill>
    <fill>
      <patternFill patternType="solid">
        <fgColor rgb="FF00B0F0"/>
        <bgColor rgb="FF33CCCC"/>
      </patternFill>
    </fill>
    <fill>
      <patternFill patternType="solid">
        <fgColor rgb="FFFF7F7F"/>
        <bgColor rgb="FFED7D31"/>
      </patternFill>
    </fill>
    <fill>
      <patternFill patternType="solid">
        <fgColor rgb="FFFFD966"/>
        <bgColor rgb="FFFFCC00"/>
      </patternFill>
    </fill>
    <fill>
      <patternFill patternType="solid">
        <fgColor rgb="FFDEEAF1"/>
        <bgColor rgb="FFE2EFDA"/>
      </patternFill>
    </fill>
    <fill>
      <patternFill patternType="solid">
        <fgColor rgb="FFE2EFDA"/>
        <bgColor rgb="FFDEEAF1"/>
      </patternFill>
    </fill>
    <fill>
      <patternFill patternType="solid">
        <fgColor rgb="FFFFF2CC"/>
        <bgColor rgb="FFF2F2F2"/>
      </patternFill>
    </fill>
    <fill>
      <patternFill patternType="solid">
        <fgColor rgb="FFFCE4EC"/>
        <bgColor rgb="FFF2F2F2"/>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5" fillId="3"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8" fillId="10" borderId="2" xfId="0" applyFont="1" applyFill="1" applyBorder="1" applyAlignment="1">
      <alignment horizontal="center" vertical="center"/>
    </xf>
    <xf numFmtId="0" fontId="8" fillId="11" borderId="2" xfId="0" applyFont="1" applyFill="1" applyBorder="1" applyAlignment="1">
      <alignment horizontal="center" vertical="center"/>
    </xf>
    <xf numFmtId="0" fontId="8" fillId="12" borderId="2" xfId="0" applyFont="1" applyFill="1" applyBorder="1" applyAlignment="1">
      <alignment horizontal="center" vertical="center"/>
    </xf>
    <xf numFmtId="0" fontId="8" fillId="13" borderId="2" xfId="0" applyFont="1" applyFill="1" applyBorder="1" applyAlignment="1">
      <alignment horizontal="center" vertical="center"/>
    </xf>
    <xf numFmtId="0" fontId="8" fillId="14" borderId="2" xfId="0" applyFont="1" applyFill="1" applyBorder="1" applyAlignment="1">
      <alignment horizontal="center" vertical="center"/>
    </xf>
    <xf numFmtId="0" fontId="4" fillId="6" borderId="2" xfId="0" applyFont="1" applyFill="1" applyBorder="1" applyAlignment="1">
      <alignment horizontal="center" vertical="center" wrapText="1"/>
    </xf>
    <xf numFmtId="0" fontId="4" fillId="15"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9" fillId="8" borderId="2" xfId="0" applyFont="1" applyFill="1" applyBorder="1" applyAlignment="1">
      <alignment horizontal="center" vertical="center"/>
    </xf>
    <xf numFmtId="0" fontId="9" fillId="12" borderId="2" xfId="0" applyFont="1" applyFill="1" applyBorder="1" applyAlignment="1">
      <alignment horizontal="center" vertical="center"/>
    </xf>
    <xf numFmtId="0" fontId="5" fillId="12" borderId="2" xfId="0" applyFont="1" applyFill="1" applyBorder="1" applyAlignment="1">
      <alignment horizontal="left" vertical="center"/>
    </xf>
    <xf numFmtId="0" fontId="10" fillId="6" borderId="2" xfId="0" applyFont="1" applyFill="1" applyBorder="1" applyAlignment="1">
      <alignment horizontal="center" vertical="center"/>
    </xf>
    <xf numFmtId="0" fontId="10" fillId="4" borderId="2" xfId="0" applyFont="1" applyFill="1" applyBorder="1" applyAlignment="1">
      <alignment horizontal="center" vertical="center"/>
    </xf>
    <xf numFmtId="0" fontId="4" fillId="16" borderId="2" xfId="0" applyFont="1" applyFill="1" applyBorder="1" applyAlignment="1">
      <alignment horizontal="left" vertical="center" wrapText="1"/>
    </xf>
    <xf numFmtId="0" fontId="4" fillId="17" borderId="2" xfId="0" applyFont="1" applyFill="1" applyBorder="1" applyAlignment="1">
      <alignment horizontal="left" vertical="center" wrapText="1"/>
    </xf>
    <xf numFmtId="0" fontId="10" fillId="17" borderId="2" xfId="0" applyFont="1" applyFill="1" applyBorder="1" applyAlignment="1">
      <alignment horizontal="center" vertical="center"/>
    </xf>
    <xf numFmtId="0" fontId="4" fillId="18" borderId="2" xfId="0" applyFont="1" applyFill="1" applyBorder="1" applyAlignment="1">
      <alignment horizontal="left" vertical="center" wrapText="1"/>
    </xf>
    <xf numFmtId="0" fontId="10" fillId="18" borderId="2" xfId="0" applyFont="1" applyFill="1" applyBorder="1" applyAlignment="1">
      <alignment horizontal="center" vertical="center"/>
    </xf>
    <xf numFmtId="0" fontId="5" fillId="8"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4" fillId="19" borderId="2" xfId="0" applyFont="1" applyFill="1" applyBorder="1" applyAlignment="1">
      <alignment horizontal="left" vertical="center" wrapText="1"/>
    </xf>
    <xf numFmtId="0" fontId="6" fillId="2" borderId="0" xfId="0" applyFont="1" applyFill="1" applyAlignment="1">
      <alignment horizontal="center" vertical="center"/>
    </xf>
    <xf numFmtId="0" fontId="11" fillId="1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7"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EEAF1"/>
      <rgbColor rgb="FF660066"/>
      <rgbColor rgb="FFFF7F7F"/>
      <rgbColor rgb="FF2E75B6"/>
      <rgbColor rgb="FFBDD7EE"/>
      <rgbColor rgb="FF000080"/>
      <rgbColor rgb="FFFF00FF"/>
      <rgbColor rgb="FFFFFF00"/>
      <rgbColor rgb="FF00FFFF"/>
      <rgbColor rgb="FF800080"/>
      <rgbColor rgb="FF800000"/>
      <rgbColor rgb="FF008080"/>
      <rgbColor rgb="FF0000FF"/>
      <rgbColor rgb="FF00B0F0"/>
      <rgbColor rgb="FFF2F2F2"/>
      <rgbColor rgb="FFE2EFDA"/>
      <rgbColor rgb="FFFCE4EC"/>
      <rgbColor rgb="FF99CCFF"/>
      <rgbColor rgb="FFFF99CC"/>
      <rgbColor rgb="FFCC99FF"/>
      <rgbColor rgb="FFFFD966"/>
      <rgbColor rgb="FF4472C4"/>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21"/>
  <sheetViews>
    <sheetView showGridLines="0" zoomScaleNormal="100" workbookViewId="0">
      <selection activeCell="C13" sqref="C13"/>
    </sheetView>
  </sheetViews>
  <sheetFormatPr defaultColWidth="8.7109375" defaultRowHeight="15" x14ac:dyDescent="0.25"/>
  <cols>
    <col min="1" max="2" width="22" customWidth="1"/>
    <col min="3" max="3" width="50" customWidth="1"/>
    <col min="4" max="4" width="40" customWidth="1"/>
    <col min="5" max="8" width="15" customWidth="1"/>
  </cols>
  <sheetData>
    <row r="1" spans="1:8" ht="36" customHeight="1" x14ac:dyDescent="0.25">
      <c r="A1" s="38" t="s">
        <v>0</v>
      </c>
      <c r="B1" s="38"/>
      <c r="C1" s="38"/>
      <c r="D1" s="38"/>
      <c r="E1" s="38"/>
      <c r="F1" s="38"/>
      <c r="G1" s="38"/>
      <c r="H1" s="38"/>
    </row>
    <row r="2" spans="1:8" ht="15.75" customHeight="1" x14ac:dyDescent="0.25">
      <c r="A2" s="39" t="s">
        <v>1</v>
      </c>
      <c r="B2" s="39"/>
      <c r="C2" s="39"/>
      <c r="D2" s="39"/>
      <c r="E2" s="39"/>
      <c r="F2" s="39"/>
      <c r="G2" s="39"/>
      <c r="H2" s="39"/>
    </row>
    <row r="3" spans="1:8" ht="15.75" customHeight="1" x14ac:dyDescent="0.25"/>
    <row r="4" spans="1:8" ht="21.75" customHeight="1" x14ac:dyDescent="0.25">
      <c r="A4" s="37" t="s">
        <v>2</v>
      </c>
      <c r="B4" s="37"/>
      <c r="C4" s="37"/>
      <c r="D4" s="37"/>
      <c r="E4" s="37"/>
      <c r="F4" s="37"/>
      <c r="G4" s="37"/>
      <c r="H4" s="37"/>
    </row>
    <row r="5" spans="1:8" ht="18" customHeight="1" x14ac:dyDescent="0.25">
      <c r="A5" s="35" t="s">
        <v>3</v>
      </c>
      <c r="B5" s="35"/>
      <c r="C5" s="35"/>
      <c r="D5" s="35"/>
      <c r="E5" s="35"/>
      <c r="F5" s="35"/>
      <c r="G5" s="35"/>
      <c r="H5" s="35"/>
    </row>
    <row r="6" spans="1:8" ht="18" customHeight="1" x14ac:dyDescent="0.25">
      <c r="A6" s="36" t="s">
        <v>4</v>
      </c>
      <c r="B6" s="36"/>
      <c r="C6" s="36"/>
      <c r="D6" s="36"/>
      <c r="E6" s="36"/>
      <c r="F6" s="36"/>
      <c r="G6" s="36"/>
      <c r="H6" s="36"/>
    </row>
    <row r="7" spans="1:8" ht="18" customHeight="1" x14ac:dyDescent="0.25">
      <c r="A7" s="35" t="s">
        <v>5</v>
      </c>
      <c r="B7" s="35"/>
      <c r="C7" s="35"/>
      <c r="D7" s="35"/>
      <c r="E7" s="35"/>
      <c r="F7" s="35"/>
      <c r="G7" s="35"/>
      <c r="H7" s="35"/>
    </row>
    <row r="8" spans="1:8" ht="18" customHeight="1" x14ac:dyDescent="0.25">
      <c r="A8" s="36" t="s">
        <v>6</v>
      </c>
      <c r="B8" s="36"/>
      <c r="C8" s="36"/>
      <c r="D8" s="36"/>
      <c r="E8" s="36"/>
      <c r="F8" s="36"/>
      <c r="G8" s="36"/>
      <c r="H8" s="36"/>
    </row>
    <row r="9" spans="1:8" ht="15.75" customHeight="1" x14ac:dyDescent="0.25"/>
    <row r="10" spans="1:8" ht="21.75" customHeight="1" x14ac:dyDescent="0.25">
      <c r="A10" s="37" t="s">
        <v>7</v>
      </c>
      <c r="B10" s="37"/>
      <c r="C10" s="37"/>
      <c r="D10" s="37"/>
      <c r="E10" s="37"/>
      <c r="F10" s="37"/>
      <c r="G10" s="37"/>
      <c r="H10" s="37"/>
    </row>
    <row r="11" spans="1:8" ht="15.75" customHeight="1" x14ac:dyDescent="0.25">
      <c r="A11" s="1" t="s">
        <v>8</v>
      </c>
      <c r="B11" s="1" t="s">
        <v>9</v>
      </c>
      <c r="C11" s="1" t="s">
        <v>10</v>
      </c>
      <c r="D11" s="1" t="s">
        <v>11</v>
      </c>
    </row>
    <row r="12" spans="1:8" ht="26.25" customHeight="1" x14ac:dyDescent="0.25">
      <c r="A12" s="2" t="s">
        <v>12</v>
      </c>
      <c r="B12" s="2" t="s">
        <v>13</v>
      </c>
      <c r="C12" s="2" t="s">
        <v>14</v>
      </c>
      <c r="D12" s="2" t="s">
        <v>15</v>
      </c>
    </row>
    <row r="13" spans="1:8" ht="26.25" customHeight="1" x14ac:dyDescent="0.25">
      <c r="A13" s="3" t="s">
        <v>16</v>
      </c>
      <c r="B13" s="3" t="s">
        <v>17</v>
      </c>
      <c r="C13" s="3" t="s">
        <v>18</v>
      </c>
      <c r="D13" s="3" t="s">
        <v>19</v>
      </c>
    </row>
    <row r="14" spans="1:8" ht="26.25" customHeight="1" x14ac:dyDescent="0.25">
      <c r="A14" s="2" t="s">
        <v>20</v>
      </c>
      <c r="B14" s="2" t="s">
        <v>21</v>
      </c>
      <c r="C14" s="2" t="s">
        <v>22</v>
      </c>
      <c r="D14" s="2" t="s">
        <v>23</v>
      </c>
    </row>
    <row r="15" spans="1:8" ht="26.25" customHeight="1" x14ac:dyDescent="0.25">
      <c r="A15" s="3" t="s">
        <v>24</v>
      </c>
      <c r="B15" s="3" t="s">
        <v>25</v>
      </c>
      <c r="C15" s="3" t="s">
        <v>26</v>
      </c>
      <c r="D15" s="3" t="s">
        <v>27</v>
      </c>
    </row>
    <row r="16" spans="1:8" ht="26.25" customHeight="1" x14ac:dyDescent="0.25">
      <c r="A16" s="2" t="s">
        <v>28</v>
      </c>
      <c r="B16" s="2" t="s">
        <v>29</v>
      </c>
      <c r="C16" s="2" t="s">
        <v>30</v>
      </c>
      <c r="D16" s="2" t="s">
        <v>31</v>
      </c>
    </row>
    <row r="17" spans="1:4" ht="26.25" customHeight="1" x14ac:dyDescent="0.25">
      <c r="A17" s="3" t="s">
        <v>32</v>
      </c>
      <c r="B17" s="3" t="s">
        <v>33</v>
      </c>
      <c r="C17" s="3" t="s">
        <v>34</v>
      </c>
      <c r="D17" s="3" t="s">
        <v>35</v>
      </c>
    </row>
    <row r="18" spans="1:4" ht="26.25" customHeight="1" x14ac:dyDescent="0.25">
      <c r="A18" s="2" t="s">
        <v>36</v>
      </c>
      <c r="B18" s="2" t="s">
        <v>37</v>
      </c>
      <c r="C18" s="2" t="s">
        <v>38</v>
      </c>
      <c r="D18" s="2" t="s">
        <v>39</v>
      </c>
    </row>
    <row r="19" spans="1:4" ht="26.25" customHeight="1" x14ac:dyDescent="0.25">
      <c r="A19" s="3" t="s">
        <v>40</v>
      </c>
      <c r="B19" s="3" t="s">
        <v>41</v>
      </c>
      <c r="C19" s="3" t="s">
        <v>42</v>
      </c>
      <c r="D19" s="3" t="s">
        <v>43</v>
      </c>
    </row>
    <row r="20" spans="1:4" ht="26.25" customHeight="1" x14ac:dyDescent="0.25">
      <c r="A20" s="2" t="s">
        <v>44</v>
      </c>
      <c r="B20" s="2" t="s">
        <v>45</v>
      </c>
      <c r="C20" s="2" t="s">
        <v>46</v>
      </c>
      <c r="D20" s="2" t="s">
        <v>47</v>
      </c>
    </row>
    <row r="21" spans="1:4" ht="26.25" customHeight="1" x14ac:dyDescent="0.25">
      <c r="A21" s="3" t="s">
        <v>48</v>
      </c>
      <c r="B21" s="3" t="s">
        <v>45</v>
      </c>
      <c r="C21" s="3" t="s">
        <v>49</v>
      </c>
      <c r="D21" s="3" t="s">
        <v>50</v>
      </c>
    </row>
  </sheetData>
  <mergeCells count="8">
    <mergeCell ref="A7:H7"/>
    <mergeCell ref="A8:H8"/>
    <mergeCell ref="A10:H10"/>
    <mergeCell ref="A1:H1"/>
    <mergeCell ref="A2:H2"/>
    <mergeCell ref="A4:H4"/>
    <mergeCell ref="A5:H5"/>
    <mergeCell ref="A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I54"/>
  <sheetViews>
    <sheetView showGridLines="0" tabSelected="1" zoomScaleNormal="100" workbookViewId="0">
      <pane ySplit="3" topLeftCell="A4" activePane="bottomLeft" state="frozen"/>
      <selection pane="bottomLeft" activeCell="I6" sqref="I6"/>
    </sheetView>
  </sheetViews>
  <sheetFormatPr defaultColWidth="8.7109375" defaultRowHeight="15" x14ac:dyDescent="0.25"/>
  <cols>
    <col min="1" max="1" width="14" customWidth="1"/>
    <col min="2" max="2" width="10" customWidth="1"/>
    <col min="3" max="3" width="22" customWidth="1"/>
    <col min="4" max="4" width="30" customWidth="1"/>
    <col min="5" max="5" width="20.5703125" customWidth="1"/>
    <col min="6" max="6" width="16" customWidth="1"/>
    <col min="7" max="7" width="17.42578125" customWidth="1"/>
    <col min="8" max="8" width="26.140625" customWidth="1"/>
    <col min="9" max="9" width="45" customWidth="1"/>
  </cols>
  <sheetData>
    <row r="1" spans="1:9" ht="31.5" customHeight="1" x14ac:dyDescent="0.25">
      <c r="A1" s="31" t="s">
        <v>51</v>
      </c>
      <c r="B1" s="31"/>
      <c r="C1" s="31"/>
      <c r="D1" s="31"/>
      <c r="E1" s="31"/>
      <c r="F1" s="31"/>
      <c r="G1" s="31"/>
      <c r="H1" s="31"/>
      <c r="I1" s="31"/>
    </row>
    <row r="2" spans="1:9" ht="15.75" customHeight="1" x14ac:dyDescent="0.25">
      <c r="A2" s="36" t="s">
        <v>52</v>
      </c>
      <c r="B2" s="36"/>
      <c r="C2" s="36"/>
      <c r="D2" s="36"/>
      <c r="E2" s="36"/>
      <c r="F2" s="36"/>
      <c r="G2" s="36"/>
      <c r="H2" s="36"/>
      <c r="I2" s="36"/>
    </row>
    <row r="3" spans="1:9" ht="21.75" customHeight="1" x14ac:dyDescent="0.25">
      <c r="A3" s="4" t="s">
        <v>53</v>
      </c>
      <c r="B3" s="4" t="s">
        <v>54</v>
      </c>
      <c r="C3" s="4" t="s">
        <v>55</v>
      </c>
      <c r="D3" s="4" t="s">
        <v>56</v>
      </c>
      <c r="E3" s="4" t="s">
        <v>57</v>
      </c>
      <c r="F3" s="4" t="s">
        <v>58</v>
      </c>
      <c r="G3" s="4" t="s">
        <v>59</v>
      </c>
      <c r="H3" s="4" t="s">
        <v>60</v>
      </c>
      <c r="I3" s="4" t="s">
        <v>61</v>
      </c>
    </row>
    <row r="4" spans="1:9" ht="21.75" customHeight="1" x14ac:dyDescent="0.25">
      <c r="A4" s="5" t="s">
        <v>62</v>
      </c>
      <c r="B4" s="2" t="s">
        <v>63</v>
      </c>
      <c r="C4" s="2" t="s">
        <v>1095</v>
      </c>
      <c r="D4" s="2" t="s">
        <v>64</v>
      </c>
      <c r="E4" s="2" t="s">
        <v>65</v>
      </c>
      <c r="F4" s="2" t="s">
        <v>66</v>
      </c>
      <c r="G4" s="2" t="s">
        <v>67</v>
      </c>
      <c r="H4" s="2" t="s">
        <v>68</v>
      </c>
      <c r="I4" s="2" t="s">
        <v>1098</v>
      </c>
    </row>
    <row r="5" spans="1:9" ht="21.75" customHeight="1" x14ac:dyDescent="0.25">
      <c r="A5" s="6" t="s">
        <v>69</v>
      </c>
      <c r="B5" s="3" t="s">
        <v>70</v>
      </c>
      <c r="C5" s="3" t="s">
        <v>1096</v>
      </c>
      <c r="D5" s="3" t="s">
        <v>1097</v>
      </c>
      <c r="E5" s="3" t="s">
        <v>63</v>
      </c>
      <c r="F5" s="3" t="s">
        <v>66</v>
      </c>
      <c r="G5" s="3" t="s">
        <v>67</v>
      </c>
      <c r="H5" s="3" t="s">
        <v>71</v>
      </c>
      <c r="I5" s="3" t="s">
        <v>1099</v>
      </c>
    </row>
    <row r="6" spans="1:9" ht="21.75" customHeight="1" x14ac:dyDescent="0.25">
      <c r="A6" s="7" t="s">
        <v>72</v>
      </c>
      <c r="B6" s="2" t="s">
        <v>73</v>
      </c>
      <c r="C6" s="2" t="s">
        <v>74</v>
      </c>
      <c r="D6" s="2" t="s">
        <v>75</v>
      </c>
      <c r="E6" s="2" t="s">
        <v>70</v>
      </c>
      <c r="F6" s="2" t="s">
        <v>66</v>
      </c>
      <c r="G6" s="2" t="s">
        <v>67</v>
      </c>
      <c r="H6" s="2" t="s">
        <v>76</v>
      </c>
      <c r="I6" s="2" t="s">
        <v>1100</v>
      </c>
    </row>
    <row r="7" spans="1:9" ht="21.75" customHeight="1" x14ac:dyDescent="0.25">
      <c r="A7" s="8" t="s">
        <v>77</v>
      </c>
      <c r="B7" s="3" t="s">
        <v>78</v>
      </c>
      <c r="C7" s="3" t="s">
        <v>79</v>
      </c>
      <c r="D7" s="3" t="s">
        <v>80</v>
      </c>
      <c r="E7" s="3" t="s">
        <v>73</v>
      </c>
      <c r="F7" s="3" t="s">
        <v>66</v>
      </c>
      <c r="G7" s="3" t="s">
        <v>81</v>
      </c>
      <c r="H7" s="3" t="s">
        <v>82</v>
      </c>
      <c r="I7" s="3" t="s">
        <v>83</v>
      </c>
    </row>
    <row r="8" spans="1:9" ht="21.75" customHeight="1" x14ac:dyDescent="0.25">
      <c r="A8" s="9" t="s">
        <v>84</v>
      </c>
      <c r="B8" s="2" t="s">
        <v>85</v>
      </c>
      <c r="C8" s="2" t="s">
        <v>86</v>
      </c>
      <c r="D8" s="2" t="s">
        <v>87</v>
      </c>
      <c r="E8" s="2" t="s">
        <v>78</v>
      </c>
      <c r="F8" s="2" t="s">
        <v>66</v>
      </c>
      <c r="G8" s="2" t="s">
        <v>88</v>
      </c>
      <c r="H8" s="2" t="s">
        <v>89</v>
      </c>
      <c r="I8" s="2" t="s">
        <v>90</v>
      </c>
    </row>
    <row r="9" spans="1:9" ht="21.75" customHeight="1" x14ac:dyDescent="0.25">
      <c r="A9" s="9" t="s">
        <v>84</v>
      </c>
      <c r="B9" s="3" t="s">
        <v>91</v>
      </c>
      <c r="C9" s="3" t="s">
        <v>92</v>
      </c>
      <c r="D9" s="3" t="s">
        <v>93</v>
      </c>
      <c r="E9" s="3" t="s">
        <v>78</v>
      </c>
      <c r="F9" s="3" t="s">
        <v>66</v>
      </c>
      <c r="G9" s="3" t="s">
        <v>94</v>
      </c>
      <c r="H9" s="3" t="s">
        <v>95</v>
      </c>
      <c r="I9" s="3" t="s">
        <v>96</v>
      </c>
    </row>
    <row r="10" spans="1:9" ht="21.75" customHeight="1" x14ac:dyDescent="0.25">
      <c r="A10" s="9" t="s">
        <v>84</v>
      </c>
      <c r="B10" s="2" t="s">
        <v>97</v>
      </c>
      <c r="C10" s="2" t="s">
        <v>98</v>
      </c>
      <c r="D10" s="2" t="s">
        <v>99</v>
      </c>
      <c r="E10" s="2" t="s">
        <v>78</v>
      </c>
      <c r="F10" s="2" t="s">
        <v>66</v>
      </c>
      <c r="G10" s="2" t="s">
        <v>88</v>
      </c>
      <c r="H10" s="2" t="s">
        <v>100</v>
      </c>
      <c r="I10" s="2" t="s">
        <v>101</v>
      </c>
    </row>
    <row r="11" spans="1:9" ht="21.75" customHeight="1" x14ac:dyDescent="0.25">
      <c r="A11" s="9" t="s">
        <v>84</v>
      </c>
      <c r="B11" s="3" t="s">
        <v>102</v>
      </c>
      <c r="C11" s="3" t="s">
        <v>103</v>
      </c>
      <c r="D11" s="3" t="s">
        <v>104</v>
      </c>
      <c r="E11" s="3" t="s">
        <v>78</v>
      </c>
      <c r="F11" s="3" t="s">
        <v>66</v>
      </c>
      <c r="G11" s="3" t="s">
        <v>88</v>
      </c>
      <c r="H11" s="3" t="s">
        <v>105</v>
      </c>
      <c r="I11" s="3" t="s">
        <v>106</v>
      </c>
    </row>
    <row r="12" spans="1:9" ht="21.75" customHeight="1" x14ac:dyDescent="0.25">
      <c r="A12" s="9" t="s">
        <v>84</v>
      </c>
      <c r="B12" s="2" t="s">
        <v>107</v>
      </c>
      <c r="C12" s="2" t="s">
        <v>108</v>
      </c>
      <c r="D12" s="2" t="s">
        <v>109</v>
      </c>
      <c r="E12" s="2" t="s">
        <v>78</v>
      </c>
      <c r="F12" s="2" t="s">
        <v>66</v>
      </c>
      <c r="G12" s="2" t="s">
        <v>88</v>
      </c>
      <c r="H12" s="2" t="s">
        <v>110</v>
      </c>
      <c r="I12" s="2" t="s">
        <v>111</v>
      </c>
    </row>
    <row r="13" spans="1:9" ht="21.75" customHeight="1" x14ac:dyDescent="0.25">
      <c r="A13" s="9" t="s">
        <v>84</v>
      </c>
      <c r="B13" s="3" t="s">
        <v>112</v>
      </c>
      <c r="C13" s="3" t="s">
        <v>113</v>
      </c>
      <c r="D13" s="3" t="s">
        <v>114</v>
      </c>
      <c r="E13" s="3" t="s">
        <v>78</v>
      </c>
      <c r="F13" s="3" t="s">
        <v>66</v>
      </c>
      <c r="G13" s="3" t="s">
        <v>88</v>
      </c>
      <c r="H13" s="3" t="s">
        <v>115</v>
      </c>
      <c r="I13" s="3" t="s">
        <v>116</v>
      </c>
    </row>
    <row r="14" spans="1:9" ht="21.75" customHeight="1" x14ac:dyDescent="0.25">
      <c r="A14" s="9" t="s">
        <v>84</v>
      </c>
      <c r="B14" s="2" t="s">
        <v>117</v>
      </c>
      <c r="C14" s="2" t="s">
        <v>118</v>
      </c>
      <c r="D14" s="2" t="s">
        <v>119</v>
      </c>
      <c r="E14" s="2" t="s">
        <v>78</v>
      </c>
      <c r="F14" s="2" t="s">
        <v>66</v>
      </c>
      <c r="G14" s="2" t="s">
        <v>120</v>
      </c>
      <c r="H14" s="2" t="s">
        <v>121</v>
      </c>
      <c r="I14" s="2" t="s">
        <v>122</v>
      </c>
    </row>
    <row r="15" spans="1:9" ht="21.75" customHeight="1" x14ac:dyDescent="0.25">
      <c r="A15" s="9" t="s">
        <v>84</v>
      </c>
      <c r="B15" s="3" t="s">
        <v>123</v>
      </c>
      <c r="C15" s="3" t="s">
        <v>124</v>
      </c>
      <c r="D15" s="3" t="s">
        <v>125</v>
      </c>
      <c r="E15" s="3" t="s">
        <v>78</v>
      </c>
      <c r="F15" s="3" t="s">
        <v>66</v>
      </c>
      <c r="G15" s="3" t="s">
        <v>126</v>
      </c>
      <c r="H15" s="3" t="s">
        <v>127</v>
      </c>
      <c r="I15" s="3" t="s">
        <v>128</v>
      </c>
    </row>
    <row r="16" spans="1:9" ht="21.75" customHeight="1" x14ac:dyDescent="0.25">
      <c r="A16" s="9" t="s">
        <v>84</v>
      </c>
      <c r="B16" s="2" t="s">
        <v>129</v>
      </c>
      <c r="C16" s="2" t="s">
        <v>130</v>
      </c>
      <c r="D16" s="2" t="s">
        <v>131</v>
      </c>
      <c r="E16" s="2" t="s">
        <v>78</v>
      </c>
      <c r="F16" s="2" t="s">
        <v>66</v>
      </c>
      <c r="G16" s="2" t="s">
        <v>132</v>
      </c>
      <c r="H16" s="2" t="s">
        <v>133</v>
      </c>
      <c r="I16" s="2" t="s">
        <v>134</v>
      </c>
    </row>
    <row r="17" spans="1:9" ht="15.75" customHeight="1" x14ac:dyDescent="0.25"/>
    <row r="18" spans="1:9" ht="15.75" customHeight="1" x14ac:dyDescent="0.25"/>
    <row r="19" spans="1:9" ht="15.75" customHeight="1" x14ac:dyDescent="0.25">
      <c r="A19" s="40" t="s">
        <v>135</v>
      </c>
      <c r="B19" s="40"/>
      <c r="C19" s="40"/>
      <c r="D19" s="40"/>
      <c r="E19" s="40"/>
      <c r="F19" s="40"/>
      <c r="G19" s="40"/>
      <c r="H19" s="40"/>
      <c r="I19" s="40"/>
    </row>
    <row r="20" spans="1:9" ht="15.75" customHeight="1" x14ac:dyDescent="0.25">
      <c r="A20" s="1" t="s">
        <v>84</v>
      </c>
      <c r="B20" s="1" t="s">
        <v>136</v>
      </c>
      <c r="C20" s="1" t="s">
        <v>137</v>
      </c>
      <c r="D20" s="1" t="s">
        <v>138</v>
      </c>
      <c r="E20" s="1" t="s">
        <v>139</v>
      </c>
      <c r="F20" s="1" t="s">
        <v>140</v>
      </c>
      <c r="G20" s="1" t="s">
        <v>141</v>
      </c>
      <c r="H20" s="1" t="s">
        <v>142</v>
      </c>
      <c r="I20" s="1" t="s">
        <v>60</v>
      </c>
    </row>
    <row r="21" spans="1:9" ht="15.75" customHeight="1" x14ac:dyDescent="0.25">
      <c r="A21" s="6" t="s">
        <v>79</v>
      </c>
      <c r="B21" s="3" t="s">
        <v>143</v>
      </c>
      <c r="C21" s="3" t="s">
        <v>144</v>
      </c>
      <c r="D21" s="3" t="s">
        <v>145</v>
      </c>
      <c r="E21" s="3" t="s">
        <v>65</v>
      </c>
      <c r="F21" s="3" t="s">
        <v>146</v>
      </c>
      <c r="G21" s="3" t="s">
        <v>147</v>
      </c>
      <c r="H21" s="3" t="s">
        <v>148</v>
      </c>
      <c r="I21" s="3" t="s">
        <v>149</v>
      </c>
    </row>
    <row r="22" spans="1:9" ht="15.75" customHeight="1" x14ac:dyDescent="0.25">
      <c r="A22" s="6" t="s">
        <v>79</v>
      </c>
      <c r="B22" s="2" t="s">
        <v>150</v>
      </c>
      <c r="C22" s="2" t="s">
        <v>151</v>
      </c>
      <c r="D22" s="2" t="s">
        <v>152</v>
      </c>
      <c r="E22" s="2" t="s">
        <v>153</v>
      </c>
      <c r="F22" s="2" t="s">
        <v>154</v>
      </c>
      <c r="G22" s="2" t="s">
        <v>147</v>
      </c>
      <c r="H22" s="2" t="s">
        <v>148</v>
      </c>
      <c r="I22" s="2" t="s">
        <v>155</v>
      </c>
    </row>
    <row r="23" spans="1:9" ht="15.75" customHeight="1" x14ac:dyDescent="0.25">
      <c r="A23" s="6" t="s">
        <v>79</v>
      </c>
      <c r="B23" s="3" t="s">
        <v>156</v>
      </c>
      <c r="C23" s="3" t="s">
        <v>157</v>
      </c>
      <c r="D23" s="3" t="s">
        <v>158</v>
      </c>
      <c r="E23" s="3" t="s">
        <v>159</v>
      </c>
      <c r="F23" s="3" t="s">
        <v>160</v>
      </c>
      <c r="G23" s="3" t="s">
        <v>161</v>
      </c>
      <c r="H23" s="3" t="s">
        <v>148</v>
      </c>
      <c r="I23" s="3" t="s">
        <v>162</v>
      </c>
    </row>
    <row r="24" spans="1:9" ht="15.75" customHeight="1" x14ac:dyDescent="0.25">
      <c r="A24" s="6" t="s">
        <v>79</v>
      </c>
      <c r="B24" s="2" t="s">
        <v>163</v>
      </c>
      <c r="C24" s="2" t="s">
        <v>164</v>
      </c>
      <c r="D24" s="2" t="s">
        <v>158</v>
      </c>
      <c r="E24" s="2" t="s">
        <v>159</v>
      </c>
      <c r="F24" s="2" t="s">
        <v>165</v>
      </c>
      <c r="G24" s="2" t="s">
        <v>161</v>
      </c>
      <c r="H24" s="2" t="s">
        <v>148</v>
      </c>
      <c r="I24" s="2" t="s">
        <v>162</v>
      </c>
    </row>
    <row r="25" spans="1:9" ht="15.75" customHeight="1" x14ac:dyDescent="0.25">
      <c r="A25" s="6" t="s">
        <v>79</v>
      </c>
      <c r="B25" s="3" t="s">
        <v>166</v>
      </c>
      <c r="C25" s="3" t="s">
        <v>167</v>
      </c>
      <c r="D25" s="3" t="s">
        <v>145</v>
      </c>
      <c r="E25" s="3" t="s">
        <v>65</v>
      </c>
      <c r="F25" s="3" t="s">
        <v>168</v>
      </c>
      <c r="G25" s="3" t="s">
        <v>161</v>
      </c>
      <c r="H25" s="3" t="s">
        <v>148</v>
      </c>
      <c r="I25" s="3" t="s">
        <v>169</v>
      </c>
    </row>
    <row r="26" spans="1:9" ht="15.75" customHeight="1" x14ac:dyDescent="0.25">
      <c r="A26" s="6" t="s">
        <v>79</v>
      </c>
      <c r="B26" s="2" t="s">
        <v>170</v>
      </c>
      <c r="C26" s="2" t="s">
        <v>171</v>
      </c>
      <c r="D26" s="2" t="s">
        <v>145</v>
      </c>
      <c r="E26" s="2" t="s">
        <v>65</v>
      </c>
      <c r="F26" s="2" t="s">
        <v>172</v>
      </c>
      <c r="G26" s="2" t="s">
        <v>161</v>
      </c>
      <c r="H26" s="2" t="s">
        <v>148</v>
      </c>
      <c r="I26" s="2" t="s">
        <v>173</v>
      </c>
    </row>
    <row r="27" spans="1:9" ht="15.75" customHeight="1" x14ac:dyDescent="0.25">
      <c r="A27" s="7" t="s">
        <v>86</v>
      </c>
      <c r="B27" s="3" t="s">
        <v>174</v>
      </c>
      <c r="C27" s="3" t="s">
        <v>175</v>
      </c>
      <c r="D27" s="3" t="s">
        <v>176</v>
      </c>
      <c r="E27" s="3" t="s">
        <v>65</v>
      </c>
      <c r="F27" s="3" t="s">
        <v>177</v>
      </c>
      <c r="G27" s="3" t="s">
        <v>147</v>
      </c>
      <c r="H27" s="3" t="s">
        <v>148</v>
      </c>
      <c r="I27" s="3" t="s">
        <v>178</v>
      </c>
    </row>
    <row r="28" spans="1:9" ht="15.75" customHeight="1" x14ac:dyDescent="0.25">
      <c r="A28" s="7" t="s">
        <v>86</v>
      </c>
      <c r="B28" s="2" t="s">
        <v>179</v>
      </c>
      <c r="C28" s="2" t="s">
        <v>180</v>
      </c>
      <c r="D28" s="2" t="s">
        <v>152</v>
      </c>
      <c r="E28" s="2" t="s">
        <v>153</v>
      </c>
      <c r="F28" s="2" t="s">
        <v>181</v>
      </c>
      <c r="G28" s="2" t="s">
        <v>161</v>
      </c>
      <c r="H28" s="2" t="s">
        <v>148</v>
      </c>
      <c r="I28" s="2" t="s">
        <v>182</v>
      </c>
    </row>
    <row r="29" spans="1:9" ht="15.75" customHeight="1" x14ac:dyDescent="0.25">
      <c r="A29" s="7" t="s">
        <v>86</v>
      </c>
      <c r="B29" s="3" t="s">
        <v>183</v>
      </c>
      <c r="C29" s="3" t="s">
        <v>184</v>
      </c>
      <c r="D29" s="3" t="s">
        <v>176</v>
      </c>
      <c r="E29" s="3" t="s">
        <v>65</v>
      </c>
      <c r="F29" s="3" t="s">
        <v>185</v>
      </c>
      <c r="G29" s="3" t="s">
        <v>161</v>
      </c>
      <c r="H29" s="3" t="s">
        <v>148</v>
      </c>
      <c r="I29" s="3" t="s">
        <v>186</v>
      </c>
    </row>
    <row r="30" spans="1:9" ht="15.75" customHeight="1" x14ac:dyDescent="0.25">
      <c r="A30" s="7" t="s">
        <v>86</v>
      </c>
      <c r="B30" s="2" t="s">
        <v>187</v>
      </c>
      <c r="C30" s="2" t="s">
        <v>188</v>
      </c>
      <c r="D30" s="2" t="s">
        <v>176</v>
      </c>
      <c r="E30" s="2" t="s">
        <v>65</v>
      </c>
      <c r="F30" s="2" t="s">
        <v>189</v>
      </c>
      <c r="G30" s="2" t="s">
        <v>161</v>
      </c>
      <c r="H30" s="2" t="s">
        <v>148</v>
      </c>
      <c r="I30" s="2" t="s">
        <v>190</v>
      </c>
    </row>
    <row r="31" spans="1:9" ht="15.75" customHeight="1" x14ac:dyDescent="0.25">
      <c r="A31" s="8" t="s">
        <v>92</v>
      </c>
      <c r="B31" s="3" t="s">
        <v>191</v>
      </c>
      <c r="C31" s="3" t="s">
        <v>192</v>
      </c>
      <c r="D31" s="3" t="s">
        <v>152</v>
      </c>
      <c r="E31" s="3" t="s">
        <v>193</v>
      </c>
      <c r="F31" s="3" t="s">
        <v>194</v>
      </c>
      <c r="G31" s="3" t="s">
        <v>161</v>
      </c>
      <c r="H31" s="3" t="s">
        <v>148</v>
      </c>
      <c r="I31" s="3" t="s">
        <v>195</v>
      </c>
    </row>
    <row r="32" spans="1:9" ht="15.75" customHeight="1" x14ac:dyDescent="0.25">
      <c r="A32" s="8" t="s">
        <v>92</v>
      </c>
      <c r="B32" s="2" t="s">
        <v>196</v>
      </c>
      <c r="C32" s="2" t="s">
        <v>197</v>
      </c>
      <c r="D32" s="2" t="s">
        <v>152</v>
      </c>
      <c r="E32" s="2" t="s">
        <v>193</v>
      </c>
      <c r="F32" s="2" t="s">
        <v>198</v>
      </c>
      <c r="G32" s="2" t="s">
        <v>199</v>
      </c>
      <c r="H32" s="2" t="s">
        <v>148</v>
      </c>
      <c r="I32" s="2" t="s">
        <v>200</v>
      </c>
    </row>
    <row r="33" spans="1:9" ht="15.75" customHeight="1" x14ac:dyDescent="0.25">
      <c r="A33" s="8" t="s">
        <v>92</v>
      </c>
      <c r="B33" s="3" t="s">
        <v>201</v>
      </c>
      <c r="C33" s="3" t="s">
        <v>202</v>
      </c>
      <c r="D33" s="3" t="s">
        <v>158</v>
      </c>
      <c r="E33" s="3" t="s">
        <v>203</v>
      </c>
      <c r="F33" s="3" t="s">
        <v>204</v>
      </c>
      <c r="G33" s="3" t="s">
        <v>161</v>
      </c>
      <c r="H33" s="3" t="s">
        <v>148</v>
      </c>
      <c r="I33" s="3" t="s">
        <v>205</v>
      </c>
    </row>
    <row r="34" spans="1:9" ht="15.75" customHeight="1" x14ac:dyDescent="0.25">
      <c r="A34" s="8" t="s">
        <v>92</v>
      </c>
      <c r="B34" s="2" t="s">
        <v>206</v>
      </c>
      <c r="C34" s="2" t="s">
        <v>207</v>
      </c>
      <c r="D34" s="2" t="s">
        <v>176</v>
      </c>
      <c r="E34" s="2" t="s">
        <v>65</v>
      </c>
      <c r="F34" s="2" t="s">
        <v>208</v>
      </c>
      <c r="G34" s="2" t="s">
        <v>161</v>
      </c>
      <c r="H34" s="2" t="s">
        <v>148</v>
      </c>
      <c r="I34" s="2" t="s">
        <v>209</v>
      </c>
    </row>
    <row r="35" spans="1:9" ht="15.75" customHeight="1" x14ac:dyDescent="0.25">
      <c r="A35" s="8" t="s">
        <v>92</v>
      </c>
      <c r="B35" s="3" t="s">
        <v>210</v>
      </c>
      <c r="C35" s="3" t="s">
        <v>211</v>
      </c>
      <c r="D35" s="3" t="s">
        <v>176</v>
      </c>
      <c r="E35" s="3" t="s">
        <v>65</v>
      </c>
      <c r="F35" s="3" t="s">
        <v>212</v>
      </c>
      <c r="G35" s="3" t="s">
        <v>161</v>
      </c>
      <c r="H35" s="3" t="s">
        <v>148</v>
      </c>
      <c r="I35" s="3" t="s">
        <v>213</v>
      </c>
    </row>
    <row r="36" spans="1:9" ht="15.75" customHeight="1" x14ac:dyDescent="0.25">
      <c r="A36" s="10" t="s">
        <v>98</v>
      </c>
      <c r="B36" s="2" t="s">
        <v>214</v>
      </c>
      <c r="C36" s="2" t="s">
        <v>215</v>
      </c>
      <c r="D36" s="2" t="s">
        <v>152</v>
      </c>
      <c r="E36" s="2" t="s">
        <v>216</v>
      </c>
      <c r="F36" s="2" t="s">
        <v>217</v>
      </c>
      <c r="G36" s="2" t="s">
        <v>161</v>
      </c>
      <c r="H36" s="2" t="s">
        <v>148</v>
      </c>
      <c r="I36" s="2" t="s">
        <v>218</v>
      </c>
    </row>
    <row r="37" spans="1:9" ht="15.75" customHeight="1" x14ac:dyDescent="0.25">
      <c r="A37" s="10" t="s">
        <v>98</v>
      </c>
      <c r="B37" s="3" t="s">
        <v>219</v>
      </c>
      <c r="C37" s="3" t="s">
        <v>220</v>
      </c>
      <c r="D37" s="3" t="s">
        <v>152</v>
      </c>
      <c r="E37" s="3" t="s">
        <v>216</v>
      </c>
      <c r="F37" s="3" t="s">
        <v>221</v>
      </c>
      <c r="G37" s="3" t="s">
        <v>199</v>
      </c>
      <c r="H37" s="3" t="s">
        <v>148</v>
      </c>
      <c r="I37" s="3" t="s">
        <v>222</v>
      </c>
    </row>
    <row r="38" spans="1:9" ht="15.75" customHeight="1" x14ac:dyDescent="0.25">
      <c r="A38" s="10" t="s">
        <v>98</v>
      </c>
      <c r="B38" s="2" t="s">
        <v>223</v>
      </c>
      <c r="C38" s="2" t="s">
        <v>224</v>
      </c>
      <c r="D38" s="2" t="s">
        <v>176</v>
      </c>
      <c r="E38" s="2" t="s">
        <v>65</v>
      </c>
      <c r="F38" s="2" t="s">
        <v>225</v>
      </c>
      <c r="G38" s="2" t="s">
        <v>161</v>
      </c>
      <c r="H38" s="2" t="s">
        <v>148</v>
      </c>
      <c r="I38" s="2" t="s">
        <v>226</v>
      </c>
    </row>
    <row r="39" spans="1:9" ht="15.75" customHeight="1" x14ac:dyDescent="0.25">
      <c r="A39" s="10" t="s">
        <v>98</v>
      </c>
      <c r="B39" s="3" t="s">
        <v>227</v>
      </c>
      <c r="C39" s="3" t="s">
        <v>228</v>
      </c>
      <c r="D39" s="3" t="s">
        <v>176</v>
      </c>
      <c r="E39" s="3" t="s">
        <v>65</v>
      </c>
      <c r="F39" s="3" t="s">
        <v>229</v>
      </c>
      <c r="G39" s="3" t="s">
        <v>161</v>
      </c>
      <c r="H39" s="3" t="s">
        <v>148</v>
      </c>
      <c r="I39" s="3" t="s">
        <v>230</v>
      </c>
    </row>
    <row r="40" spans="1:9" ht="15.75" customHeight="1" x14ac:dyDescent="0.25">
      <c r="A40" s="11" t="s">
        <v>103</v>
      </c>
      <c r="B40" s="2" t="s">
        <v>231</v>
      </c>
      <c r="C40" s="2" t="s">
        <v>232</v>
      </c>
      <c r="D40" s="2" t="s">
        <v>152</v>
      </c>
      <c r="E40" s="2" t="s">
        <v>193</v>
      </c>
      <c r="F40" s="2" t="s">
        <v>233</v>
      </c>
      <c r="G40" s="2" t="s">
        <v>161</v>
      </c>
      <c r="H40" s="2" t="s">
        <v>148</v>
      </c>
      <c r="I40" s="2" t="s">
        <v>234</v>
      </c>
    </row>
    <row r="41" spans="1:9" ht="15.75" customHeight="1" x14ac:dyDescent="0.25">
      <c r="A41" s="11" t="s">
        <v>103</v>
      </c>
      <c r="B41" s="3" t="s">
        <v>235</v>
      </c>
      <c r="C41" s="3" t="s">
        <v>236</v>
      </c>
      <c r="D41" s="3" t="s">
        <v>176</v>
      </c>
      <c r="E41" s="3" t="s">
        <v>65</v>
      </c>
      <c r="F41" s="3" t="s">
        <v>237</v>
      </c>
      <c r="G41" s="3" t="s">
        <v>161</v>
      </c>
      <c r="H41" s="3" t="s">
        <v>148</v>
      </c>
      <c r="I41" s="3" t="s">
        <v>238</v>
      </c>
    </row>
    <row r="42" spans="1:9" ht="15.75" customHeight="1" x14ac:dyDescent="0.25">
      <c r="A42" s="11" t="s">
        <v>103</v>
      </c>
      <c r="B42" s="2" t="s">
        <v>239</v>
      </c>
      <c r="C42" s="2" t="s">
        <v>240</v>
      </c>
      <c r="D42" s="2" t="s">
        <v>176</v>
      </c>
      <c r="E42" s="2" t="s">
        <v>65</v>
      </c>
      <c r="F42" s="2" t="s">
        <v>241</v>
      </c>
      <c r="G42" s="2" t="s">
        <v>161</v>
      </c>
      <c r="H42" s="2" t="s">
        <v>148</v>
      </c>
      <c r="I42" s="2" t="s">
        <v>242</v>
      </c>
    </row>
    <row r="43" spans="1:9" ht="15.75" customHeight="1" x14ac:dyDescent="0.25">
      <c r="A43" s="12" t="s">
        <v>108</v>
      </c>
      <c r="B43" s="3" t="s">
        <v>243</v>
      </c>
      <c r="C43" s="3" t="s">
        <v>244</v>
      </c>
      <c r="D43" s="3" t="s">
        <v>176</v>
      </c>
      <c r="E43" s="3" t="s">
        <v>65</v>
      </c>
      <c r="F43" s="3" t="s">
        <v>245</v>
      </c>
      <c r="G43" s="3" t="s">
        <v>161</v>
      </c>
      <c r="H43" s="3" t="s">
        <v>148</v>
      </c>
      <c r="I43" s="3" t="s">
        <v>246</v>
      </c>
    </row>
    <row r="44" spans="1:9" ht="15.75" customHeight="1" x14ac:dyDescent="0.25">
      <c r="A44" s="12" t="s">
        <v>108</v>
      </c>
      <c r="B44" s="2" t="s">
        <v>247</v>
      </c>
      <c r="C44" s="2" t="s">
        <v>248</v>
      </c>
      <c r="D44" s="2" t="s">
        <v>176</v>
      </c>
      <c r="E44" s="2" t="s">
        <v>65</v>
      </c>
      <c r="F44" s="2" t="s">
        <v>249</v>
      </c>
      <c r="G44" s="2" t="s">
        <v>161</v>
      </c>
      <c r="H44" s="2" t="s">
        <v>148</v>
      </c>
      <c r="I44" s="2" t="s">
        <v>250</v>
      </c>
    </row>
    <row r="45" spans="1:9" ht="15.75" customHeight="1" x14ac:dyDescent="0.25">
      <c r="A45" s="12" t="s">
        <v>108</v>
      </c>
      <c r="B45" s="3" t="s">
        <v>251</v>
      </c>
      <c r="C45" s="3" t="s">
        <v>252</v>
      </c>
      <c r="D45" s="3" t="s">
        <v>158</v>
      </c>
      <c r="E45" s="3" t="s">
        <v>253</v>
      </c>
      <c r="F45" s="3" t="s">
        <v>254</v>
      </c>
      <c r="G45" s="3" t="s">
        <v>161</v>
      </c>
      <c r="H45" s="3" t="s">
        <v>148</v>
      </c>
      <c r="I45" s="3" t="s">
        <v>255</v>
      </c>
    </row>
    <row r="46" spans="1:9" ht="15.75" customHeight="1" x14ac:dyDescent="0.25">
      <c r="A46" s="13" t="s">
        <v>113</v>
      </c>
      <c r="B46" s="2" t="s">
        <v>256</v>
      </c>
      <c r="C46" s="2" t="s">
        <v>257</v>
      </c>
      <c r="D46" s="2" t="s">
        <v>176</v>
      </c>
      <c r="E46" s="2" t="s">
        <v>65</v>
      </c>
      <c r="F46" s="2" t="s">
        <v>258</v>
      </c>
      <c r="G46" s="2" t="s">
        <v>161</v>
      </c>
      <c r="H46" s="2" t="s">
        <v>148</v>
      </c>
      <c r="I46" s="2" t="s">
        <v>259</v>
      </c>
    </row>
    <row r="47" spans="1:9" ht="15.75" customHeight="1" x14ac:dyDescent="0.25">
      <c r="A47" s="13" t="s">
        <v>113</v>
      </c>
      <c r="B47" s="3" t="s">
        <v>260</v>
      </c>
      <c r="C47" s="3" t="s">
        <v>261</v>
      </c>
      <c r="D47" s="3" t="s">
        <v>145</v>
      </c>
      <c r="E47" s="3" t="s">
        <v>65</v>
      </c>
      <c r="F47" s="3" t="s">
        <v>262</v>
      </c>
      <c r="G47" s="3" t="s">
        <v>161</v>
      </c>
      <c r="H47" s="3" t="s">
        <v>148</v>
      </c>
      <c r="I47" s="3" t="s">
        <v>263</v>
      </c>
    </row>
    <row r="48" spans="1:9" ht="15.75" customHeight="1" x14ac:dyDescent="0.25">
      <c r="A48" s="13" t="s">
        <v>113</v>
      </c>
      <c r="B48" s="2" t="s">
        <v>264</v>
      </c>
      <c r="C48" s="2" t="s">
        <v>265</v>
      </c>
      <c r="D48" s="2" t="s">
        <v>158</v>
      </c>
      <c r="E48" s="2" t="s">
        <v>159</v>
      </c>
      <c r="F48" s="2" t="s">
        <v>266</v>
      </c>
      <c r="G48" s="2" t="s">
        <v>161</v>
      </c>
      <c r="H48" s="2" t="s">
        <v>148</v>
      </c>
      <c r="I48" s="2" t="s">
        <v>267</v>
      </c>
    </row>
    <row r="49" spans="1:9" ht="15.75" customHeight="1" x14ac:dyDescent="0.25">
      <c r="A49" s="14" t="s">
        <v>118</v>
      </c>
      <c r="B49" s="3" t="s">
        <v>268</v>
      </c>
      <c r="C49" s="3" t="s">
        <v>269</v>
      </c>
      <c r="D49" s="3" t="s">
        <v>176</v>
      </c>
      <c r="E49" s="3" t="s">
        <v>65</v>
      </c>
      <c r="F49" s="3" t="s">
        <v>270</v>
      </c>
      <c r="G49" s="3" t="s">
        <v>161</v>
      </c>
      <c r="H49" s="3" t="s">
        <v>148</v>
      </c>
      <c r="I49" s="3" t="s">
        <v>271</v>
      </c>
    </row>
    <row r="50" spans="1:9" ht="15.75" customHeight="1" x14ac:dyDescent="0.25">
      <c r="A50" s="14" t="s">
        <v>118</v>
      </c>
      <c r="B50" s="2" t="s">
        <v>272</v>
      </c>
      <c r="C50" s="2" t="s">
        <v>273</v>
      </c>
      <c r="D50" s="2" t="s">
        <v>176</v>
      </c>
      <c r="E50" s="2" t="s">
        <v>65</v>
      </c>
      <c r="F50" s="2" t="s">
        <v>274</v>
      </c>
      <c r="G50" s="2" t="s">
        <v>161</v>
      </c>
      <c r="H50" s="2" t="s">
        <v>148</v>
      </c>
      <c r="I50" s="2" t="s">
        <v>275</v>
      </c>
    </row>
    <row r="51" spans="1:9" ht="15.75" customHeight="1" x14ac:dyDescent="0.25">
      <c r="A51" s="14" t="s">
        <v>118</v>
      </c>
      <c r="B51" s="3" t="s">
        <v>276</v>
      </c>
      <c r="C51" s="3" t="s">
        <v>277</v>
      </c>
      <c r="D51" s="3" t="s">
        <v>158</v>
      </c>
      <c r="E51" s="3" t="s">
        <v>253</v>
      </c>
      <c r="F51" s="3" t="s">
        <v>278</v>
      </c>
      <c r="G51" s="3" t="s">
        <v>161</v>
      </c>
      <c r="H51" s="3" t="s">
        <v>148</v>
      </c>
      <c r="I51" s="3" t="s">
        <v>279</v>
      </c>
    </row>
    <row r="52" spans="1:9" ht="15.75" customHeight="1" x14ac:dyDescent="0.25">
      <c r="A52" s="9" t="s">
        <v>124</v>
      </c>
      <c r="B52" s="2" t="s">
        <v>280</v>
      </c>
      <c r="C52" s="2" t="s">
        <v>281</v>
      </c>
      <c r="D52" s="2" t="s">
        <v>176</v>
      </c>
      <c r="E52" s="2" t="s">
        <v>65</v>
      </c>
      <c r="F52" s="2" t="s">
        <v>282</v>
      </c>
      <c r="G52" s="2" t="s">
        <v>161</v>
      </c>
      <c r="H52" s="2" t="s">
        <v>148</v>
      </c>
      <c r="I52" s="2" t="s">
        <v>283</v>
      </c>
    </row>
    <row r="53" spans="1:9" ht="15.75" customHeight="1" x14ac:dyDescent="0.25">
      <c r="A53" s="9" t="s">
        <v>124</v>
      </c>
      <c r="B53" s="3" t="s">
        <v>284</v>
      </c>
      <c r="C53" s="3" t="s">
        <v>285</v>
      </c>
      <c r="D53" s="3" t="s">
        <v>145</v>
      </c>
      <c r="E53" s="3" t="s">
        <v>65</v>
      </c>
      <c r="F53" s="3" t="s">
        <v>286</v>
      </c>
      <c r="G53" s="3" t="s">
        <v>161</v>
      </c>
      <c r="H53" s="3" t="s">
        <v>148</v>
      </c>
      <c r="I53" s="3" t="s">
        <v>287</v>
      </c>
    </row>
    <row r="54" spans="1:9" ht="15.75" customHeight="1" x14ac:dyDescent="0.25">
      <c r="A54" s="9" t="s">
        <v>124</v>
      </c>
      <c r="B54" s="2" t="s">
        <v>288</v>
      </c>
      <c r="C54" s="2" t="s">
        <v>289</v>
      </c>
      <c r="D54" s="2" t="s">
        <v>158</v>
      </c>
      <c r="E54" s="2" t="s">
        <v>203</v>
      </c>
      <c r="F54" s="2" t="s">
        <v>290</v>
      </c>
      <c r="G54" s="2" t="s">
        <v>161</v>
      </c>
      <c r="H54" s="2" t="s">
        <v>148</v>
      </c>
      <c r="I54" s="2" t="s">
        <v>291</v>
      </c>
    </row>
  </sheetData>
  <mergeCells count="3">
    <mergeCell ref="A1:I1"/>
    <mergeCell ref="A2:I2"/>
    <mergeCell ref="A19:I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H12"/>
  <sheetViews>
    <sheetView showGridLines="0" zoomScaleNormal="100" workbookViewId="0">
      <pane ySplit="3" topLeftCell="A4" activePane="bottomLeft" state="frozen"/>
      <selection pane="bottomLeft" activeCell="C4" sqref="C4:C6"/>
    </sheetView>
  </sheetViews>
  <sheetFormatPr defaultColWidth="8.7109375" defaultRowHeight="15" x14ac:dyDescent="0.25"/>
  <cols>
    <col min="1" max="1" width="10" customWidth="1"/>
    <col min="2" max="3" width="22" customWidth="1"/>
    <col min="4" max="4" width="12" customWidth="1"/>
    <col min="5" max="5" width="40" customWidth="1"/>
    <col min="6" max="6" width="38" customWidth="1"/>
    <col min="7" max="7" width="30" customWidth="1"/>
    <col min="8" max="8" width="38" customWidth="1"/>
  </cols>
  <sheetData>
    <row r="1" spans="1:8" ht="31.5" customHeight="1" x14ac:dyDescent="0.25">
      <c r="A1" s="31" t="s">
        <v>292</v>
      </c>
      <c r="B1" s="31"/>
      <c r="C1" s="31"/>
      <c r="D1" s="31"/>
      <c r="E1" s="31"/>
      <c r="F1" s="31"/>
      <c r="G1" s="31"/>
      <c r="H1" s="31"/>
    </row>
    <row r="2" spans="1:8" ht="15.75" customHeight="1" x14ac:dyDescent="0.25">
      <c r="A2" s="36" t="s">
        <v>293</v>
      </c>
      <c r="B2" s="36"/>
      <c r="C2" s="36"/>
      <c r="D2" s="36"/>
      <c r="E2" s="36"/>
      <c r="F2" s="36"/>
      <c r="G2" s="36"/>
      <c r="H2" s="36"/>
    </row>
    <row r="3" spans="1:8" ht="15.75" customHeight="1" x14ac:dyDescent="0.25">
      <c r="A3" s="4" t="s">
        <v>294</v>
      </c>
      <c r="B3" s="4" t="s">
        <v>295</v>
      </c>
      <c r="C3" s="4" t="s">
        <v>296</v>
      </c>
      <c r="D3" s="4" t="s">
        <v>297</v>
      </c>
      <c r="E3" s="4" t="s">
        <v>56</v>
      </c>
      <c r="F3" s="4" t="s">
        <v>298</v>
      </c>
      <c r="G3" s="4" t="s">
        <v>299</v>
      </c>
      <c r="H3" s="4" t="s">
        <v>60</v>
      </c>
    </row>
    <row r="4" spans="1:8" ht="15.75" customHeight="1" x14ac:dyDescent="0.25">
      <c r="A4" s="2" t="s">
        <v>300</v>
      </c>
      <c r="B4" s="2" t="s">
        <v>301</v>
      </c>
      <c r="C4" s="6" t="s">
        <v>302</v>
      </c>
      <c r="D4" s="2" t="s">
        <v>65</v>
      </c>
      <c r="E4" s="2" t="s">
        <v>303</v>
      </c>
      <c r="F4" s="2" t="s">
        <v>304</v>
      </c>
      <c r="G4" s="2" t="s">
        <v>305</v>
      </c>
      <c r="H4" s="2" t="s">
        <v>306</v>
      </c>
    </row>
    <row r="5" spans="1:8" ht="26.25" customHeight="1" x14ac:dyDescent="0.25">
      <c r="A5" s="3" t="s">
        <v>307</v>
      </c>
      <c r="B5" s="3" t="s">
        <v>308</v>
      </c>
      <c r="C5" s="6" t="s">
        <v>302</v>
      </c>
      <c r="D5" s="3" t="s">
        <v>300</v>
      </c>
      <c r="E5" s="3" t="s">
        <v>309</v>
      </c>
      <c r="F5" s="3" t="s">
        <v>310</v>
      </c>
      <c r="G5" s="3" t="s">
        <v>92</v>
      </c>
      <c r="H5" s="3" t="s">
        <v>311</v>
      </c>
    </row>
    <row r="6" spans="1:8" ht="28.5" customHeight="1" x14ac:dyDescent="0.25">
      <c r="A6" s="2" t="s">
        <v>312</v>
      </c>
      <c r="B6" s="2" t="s">
        <v>313</v>
      </c>
      <c r="C6" s="6" t="s">
        <v>302</v>
      </c>
      <c r="D6" s="2" t="s">
        <v>300</v>
      </c>
      <c r="E6" s="2" t="s">
        <v>314</v>
      </c>
      <c r="F6" s="2" t="s">
        <v>65</v>
      </c>
      <c r="G6" s="2" t="s">
        <v>92</v>
      </c>
      <c r="H6" s="2" t="s">
        <v>315</v>
      </c>
    </row>
    <row r="7" spans="1:8" ht="20.25" customHeight="1" x14ac:dyDescent="0.25">
      <c r="A7" s="3" t="s">
        <v>316</v>
      </c>
      <c r="B7" s="3" t="s">
        <v>317</v>
      </c>
      <c r="C7" s="8" t="s">
        <v>318</v>
      </c>
      <c r="D7" s="3" t="s">
        <v>65</v>
      </c>
      <c r="E7" s="3" t="s">
        <v>319</v>
      </c>
      <c r="F7" s="3" t="s">
        <v>320</v>
      </c>
      <c r="G7" s="3" t="s">
        <v>321</v>
      </c>
      <c r="H7" s="3" t="s">
        <v>322</v>
      </c>
    </row>
    <row r="8" spans="1:8" ht="21" customHeight="1" x14ac:dyDescent="0.25">
      <c r="A8" s="2" t="s">
        <v>323</v>
      </c>
      <c r="B8" s="2" t="s">
        <v>324</v>
      </c>
      <c r="C8" s="10" t="s">
        <v>325</v>
      </c>
      <c r="D8" s="2" t="s">
        <v>65</v>
      </c>
      <c r="E8" s="2" t="s">
        <v>326</v>
      </c>
      <c r="F8" s="2" t="s">
        <v>327</v>
      </c>
      <c r="G8" s="2" t="s">
        <v>86</v>
      </c>
      <c r="H8" s="2" t="s">
        <v>328</v>
      </c>
    </row>
    <row r="9" spans="1:8" ht="21" customHeight="1" x14ac:dyDescent="0.25">
      <c r="A9" s="3" t="s">
        <v>329</v>
      </c>
      <c r="B9" s="3" t="s">
        <v>330</v>
      </c>
      <c r="C9" s="10" t="s">
        <v>325</v>
      </c>
      <c r="D9" s="3" t="s">
        <v>65</v>
      </c>
      <c r="E9" s="3" t="s">
        <v>331</v>
      </c>
      <c r="F9" s="3" t="s">
        <v>332</v>
      </c>
      <c r="G9" s="3" t="s">
        <v>98</v>
      </c>
      <c r="H9" s="3" t="s">
        <v>333</v>
      </c>
    </row>
    <row r="10" spans="1:8" ht="21" customHeight="1" x14ac:dyDescent="0.25">
      <c r="A10" s="2" t="s">
        <v>334</v>
      </c>
      <c r="B10" s="2" t="s">
        <v>335</v>
      </c>
      <c r="C10" s="10" t="s">
        <v>325</v>
      </c>
      <c r="D10" s="2" t="s">
        <v>65</v>
      </c>
      <c r="E10" s="2" t="s">
        <v>336</v>
      </c>
      <c r="F10" s="2" t="s">
        <v>337</v>
      </c>
      <c r="G10" s="2" t="s">
        <v>108</v>
      </c>
      <c r="H10" s="2" t="s">
        <v>338</v>
      </c>
    </row>
    <row r="11" spans="1:8" ht="21" customHeight="1" x14ac:dyDescent="0.25">
      <c r="A11" s="3" t="s">
        <v>339</v>
      </c>
      <c r="B11" s="3" t="s">
        <v>340</v>
      </c>
      <c r="C11" s="10" t="s">
        <v>325</v>
      </c>
      <c r="D11" s="3" t="s">
        <v>65</v>
      </c>
      <c r="E11" s="3" t="s">
        <v>341</v>
      </c>
      <c r="F11" s="3" t="s">
        <v>342</v>
      </c>
      <c r="G11" s="3" t="s">
        <v>118</v>
      </c>
      <c r="H11" s="3" t="s">
        <v>343</v>
      </c>
    </row>
    <row r="12" spans="1:8" ht="21" customHeight="1" x14ac:dyDescent="0.25">
      <c r="A12" s="2" t="s">
        <v>344</v>
      </c>
      <c r="B12" s="2" t="s">
        <v>345</v>
      </c>
      <c r="C12" s="11" t="s">
        <v>346</v>
      </c>
      <c r="D12" s="2" t="s">
        <v>65</v>
      </c>
      <c r="E12" s="2" t="s">
        <v>347</v>
      </c>
      <c r="F12" s="2" t="s">
        <v>348</v>
      </c>
      <c r="G12" s="2" t="s">
        <v>130</v>
      </c>
      <c r="H12" s="2" t="s">
        <v>349</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L21"/>
  <sheetViews>
    <sheetView showGridLines="0" zoomScaleNormal="100" workbookViewId="0">
      <pane ySplit="3" topLeftCell="A4" activePane="bottomLeft" state="frozen"/>
      <selection pane="bottomLeft" activeCell="F26" sqref="F26"/>
    </sheetView>
  </sheetViews>
  <sheetFormatPr defaultColWidth="8.7109375" defaultRowHeight="15" x14ac:dyDescent="0.25"/>
  <cols>
    <col min="1" max="1" width="10.7109375" bestFit="1" customWidth="1"/>
    <col min="2" max="2" width="19.28515625" bestFit="1" customWidth="1"/>
    <col min="3" max="4" width="15.42578125" bestFit="1" customWidth="1"/>
    <col min="5" max="5" width="13.5703125" bestFit="1" customWidth="1"/>
    <col min="6" max="6" width="18.85546875" bestFit="1" customWidth="1"/>
    <col min="7" max="7" width="20.85546875" bestFit="1" customWidth="1"/>
    <col min="8" max="8" width="13.140625" bestFit="1" customWidth="1"/>
    <col min="9" max="9" width="18.140625" bestFit="1" customWidth="1"/>
    <col min="10" max="10" width="36.28515625" bestFit="1" customWidth="1"/>
    <col min="11" max="11" width="19.140625" bestFit="1" customWidth="1"/>
    <col min="12" max="12" width="32.7109375" bestFit="1" customWidth="1"/>
  </cols>
  <sheetData>
    <row r="1" spans="1:12" ht="31.5" customHeight="1" x14ac:dyDescent="0.25">
      <c r="A1" s="31" t="s">
        <v>350</v>
      </c>
      <c r="B1" s="31"/>
      <c r="C1" s="31"/>
      <c r="D1" s="31"/>
      <c r="E1" s="31"/>
      <c r="F1" s="31"/>
      <c r="G1" s="31"/>
      <c r="H1" s="31"/>
      <c r="I1" s="31"/>
      <c r="J1" s="31"/>
      <c r="K1" s="31"/>
      <c r="L1" s="31"/>
    </row>
    <row r="2" spans="1:12" ht="15.75" customHeight="1" x14ac:dyDescent="0.25">
      <c r="A2" s="36" t="s">
        <v>351</v>
      </c>
      <c r="B2" s="36"/>
      <c r="C2" s="36"/>
      <c r="D2" s="36"/>
      <c r="E2" s="36"/>
      <c r="F2" s="36"/>
      <c r="G2" s="36"/>
      <c r="H2" s="36"/>
      <c r="I2" s="36"/>
      <c r="J2" s="36"/>
      <c r="K2" s="36"/>
      <c r="L2" s="36"/>
    </row>
    <row r="3" spans="1:12" ht="24.75" customHeight="1" x14ac:dyDescent="0.25">
      <c r="A3" s="4" t="s">
        <v>352</v>
      </c>
      <c r="B3" s="4" t="s">
        <v>353</v>
      </c>
      <c r="C3" s="4" t="s">
        <v>354</v>
      </c>
      <c r="D3" s="4" t="s">
        <v>355</v>
      </c>
      <c r="E3" s="4" t="s">
        <v>356</v>
      </c>
      <c r="F3" s="4" t="s">
        <v>357</v>
      </c>
      <c r="G3" s="4" t="s">
        <v>358</v>
      </c>
      <c r="H3" s="4" t="s">
        <v>359</v>
      </c>
      <c r="I3" s="4" t="s">
        <v>360</v>
      </c>
      <c r="J3" s="4" t="s">
        <v>361</v>
      </c>
      <c r="K3" s="4" t="s">
        <v>362</v>
      </c>
      <c r="L3" s="4" t="s">
        <v>60</v>
      </c>
    </row>
    <row r="4" spans="1:12" ht="15.75" customHeight="1" x14ac:dyDescent="0.25">
      <c r="A4" s="2" t="s">
        <v>363</v>
      </c>
      <c r="B4" s="2" t="s">
        <v>364</v>
      </c>
      <c r="C4" s="2" t="s">
        <v>312</v>
      </c>
      <c r="D4" s="2" t="s">
        <v>365</v>
      </c>
      <c r="E4" s="15" t="s">
        <v>366</v>
      </c>
      <c r="F4" s="16">
        <f>E4*1.01</f>
        <v>202</v>
      </c>
      <c r="G4" s="15" t="s">
        <v>367</v>
      </c>
      <c r="H4" s="8" t="s">
        <v>368</v>
      </c>
      <c r="I4" s="15" t="s">
        <v>369</v>
      </c>
      <c r="J4" s="15" t="s">
        <v>370</v>
      </c>
      <c r="K4" s="15" t="s">
        <v>371</v>
      </c>
      <c r="L4" s="15" t="s">
        <v>372</v>
      </c>
    </row>
    <row r="5" spans="1:12" ht="15.75" customHeight="1" x14ac:dyDescent="0.25">
      <c r="A5" s="3" t="s">
        <v>373</v>
      </c>
      <c r="B5" s="3" t="s">
        <v>374</v>
      </c>
      <c r="C5" s="3" t="s">
        <v>312</v>
      </c>
      <c r="D5" s="3" t="s">
        <v>365</v>
      </c>
      <c r="E5" s="17" t="s">
        <v>375</v>
      </c>
      <c r="F5" s="16">
        <f>E5*1.01</f>
        <v>505</v>
      </c>
      <c r="G5" s="17" t="s">
        <v>376</v>
      </c>
      <c r="H5" s="8" t="s">
        <v>368</v>
      </c>
      <c r="I5" s="17" t="s">
        <v>369</v>
      </c>
      <c r="J5" s="17" t="s">
        <v>370</v>
      </c>
      <c r="K5" s="17" t="s">
        <v>377</v>
      </c>
      <c r="L5" s="17" t="s">
        <v>378</v>
      </c>
    </row>
    <row r="6" spans="1:12" ht="15.75" customHeight="1" x14ac:dyDescent="0.25">
      <c r="A6" s="2" t="s">
        <v>379</v>
      </c>
      <c r="B6" s="2" t="s">
        <v>380</v>
      </c>
      <c r="C6" s="2" t="s">
        <v>312</v>
      </c>
      <c r="D6" s="2" t="s">
        <v>365</v>
      </c>
      <c r="E6" s="15" t="s">
        <v>381</v>
      </c>
      <c r="F6" s="16">
        <f>E6*1.01</f>
        <v>2020</v>
      </c>
      <c r="G6" s="15" t="s">
        <v>382</v>
      </c>
      <c r="H6" s="8" t="s">
        <v>368</v>
      </c>
      <c r="I6" s="15" t="s">
        <v>369</v>
      </c>
      <c r="J6" s="15" t="s">
        <v>370</v>
      </c>
      <c r="K6" s="15" t="s">
        <v>383</v>
      </c>
      <c r="L6" s="15" t="s">
        <v>384</v>
      </c>
    </row>
    <row r="7" spans="1:12" ht="15.75" customHeight="1" x14ac:dyDescent="0.25">
      <c r="A7" s="3" t="s">
        <v>385</v>
      </c>
      <c r="B7" s="3" t="s">
        <v>386</v>
      </c>
      <c r="C7" s="3" t="s">
        <v>312</v>
      </c>
      <c r="D7" s="3" t="s">
        <v>365</v>
      </c>
      <c r="E7" s="17" t="s">
        <v>387</v>
      </c>
      <c r="F7" s="16">
        <f>E7*1.01</f>
        <v>6060</v>
      </c>
      <c r="G7" s="17" t="s">
        <v>388</v>
      </c>
      <c r="H7" s="8" t="s">
        <v>368</v>
      </c>
      <c r="I7" s="17" t="s">
        <v>369</v>
      </c>
      <c r="J7" s="17" t="s">
        <v>370</v>
      </c>
      <c r="K7" s="17" t="s">
        <v>389</v>
      </c>
      <c r="L7" s="17" t="s">
        <v>390</v>
      </c>
    </row>
    <row r="8" spans="1:12" ht="15.75" customHeight="1" x14ac:dyDescent="0.25">
      <c r="A8" s="2" t="s">
        <v>391</v>
      </c>
      <c r="B8" s="2" t="s">
        <v>392</v>
      </c>
      <c r="C8" s="2" t="s">
        <v>312</v>
      </c>
      <c r="D8" s="2" t="s">
        <v>393</v>
      </c>
      <c r="E8" s="15" t="s">
        <v>366</v>
      </c>
      <c r="F8" s="16">
        <f>E8*1.02</f>
        <v>204</v>
      </c>
      <c r="G8" s="15" t="s">
        <v>367</v>
      </c>
      <c r="H8" s="8" t="s">
        <v>368</v>
      </c>
      <c r="I8" s="15" t="s">
        <v>369</v>
      </c>
      <c r="J8" s="15" t="s">
        <v>394</v>
      </c>
      <c r="K8" s="15" t="s">
        <v>371</v>
      </c>
      <c r="L8" s="15" t="s">
        <v>395</v>
      </c>
    </row>
    <row r="9" spans="1:12" ht="15.75" customHeight="1" x14ac:dyDescent="0.25">
      <c r="A9" s="3" t="s">
        <v>396</v>
      </c>
      <c r="B9" s="3" t="s">
        <v>397</v>
      </c>
      <c r="C9" s="3" t="s">
        <v>312</v>
      </c>
      <c r="D9" s="3" t="s">
        <v>393</v>
      </c>
      <c r="E9" s="17" t="s">
        <v>375</v>
      </c>
      <c r="F9" s="16">
        <f>E9*1.02</f>
        <v>510</v>
      </c>
      <c r="G9" s="17" t="s">
        <v>376</v>
      </c>
      <c r="H9" s="8" t="s">
        <v>368</v>
      </c>
      <c r="I9" s="17" t="s">
        <v>369</v>
      </c>
      <c r="J9" s="17" t="s">
        <v>394</v>
      </c>
      <c r="K9" s="17" t="s">
        <v>377</v>
      </c>
      <c r="L9" s="17"/>
    </row>
    <row r="10" spans="1:12" ht="15.75" customHeight="1" x14ac:dyDescent="0.25">
      <c r="A10" s="2" t="s">
        <v>398</v>
      </c>
      <c r="B10" s="2" t="s">
        <v>399</v>
      </c>
      <c r="C10" s="2" t="s">
        <v>307</v>
      </c>
      <c r="D10" s="2" t="s">
        <v>400</v>
      </c>
      <c r="E10" s="15" t="s">
        <v>375</v>
      </c>
      <c r="F10" s="16">
        <f>E10*1.04</f>
        <v>520</v>
      </c>
      <c r="G10" s="15" t="s">
        <v>376</v>
      </c>
      <c r="H10" s="8" t="s">
        <v>368</v>
      </c>
      <c r="I10" s="15" t="s">
        <v>369</v>
      </c>
      <c r="J10" s="15" t="s">
        <v>401</v>
      </c>
      <c r="K10" s="15" t="s">
        <v>402</v>
      </c>
      <c r="L10" s="15" t="s">
        <v>403</v>
      </c>
    </row>
    <row r="11" spans="1:12" ht="15.75" customHeight="1" x14ac:dyDescent="0.25">
      <c r="A11" s="3" t="s">
        <v>404</v>
      </c>
      <c r="B11" s="3" t="s">
        <v>405</v>
      </c>
      <c r="C11" s="3" t="s">
        <v>307</v>
      </c>
      <c r="D11" s="3" t="s">
        <v>400</v>
      </c>
      <c r="E11" s="17" t="s">
        <v>381</v>
      </c>
      <c r="F11" s="16">
        <f>E11*1.04</f>
        <v>2080</v>
      </c>
      <c r="G11" s="17" t="s">
        <v>382</v>
      </c>
      <c r="H11" s="8" t="s">
        <v>368</v>
      </c>
      <c r="I11" s="17" t="s">
        <v>369</v>
      </c>
      <c r="J11" s="17" t="s">
        <v>401</v>
      </c>
      <c r="K11" s="17" t="s">
        <v>406</v>
      </c>
      <c r="L11" s="17" t="s">
        <v>407</v>
      </c>
    </row>
    <row r="12" spans="1:12" ht="15.75" customHeight="1" x14ac:dyDescent="0.25">
      <c r="A12" s="2" t="s">
        <v>408</v>
      </c>
      <c r="B12" s="2" t="s">
        <v>409</v>
      </c>
      <c r="C12" s="2" t="s">
        <v>307</v>
      </c>
      <c r="D12" s="2" t="s">
        <v>410</v>
      </c>
      <c r="E12" s="15" t="s">
        <v>375</v>
      </c>
      <c r="F12" s="16">
        <f>E12*1.02</f>
        <v>510</v>
      </c>
      <c r="G12" s="15" t="s">
        <v>376</v>
      </c>
      <c r="H12" s="12" t="s">
        <v>411</v>
      </c>
      <c r="I12" s="15" t="s">
        <v>369</v>
      </c>
      <c r="J12" s="15" t="s">
        <v>412</v>
      </c>
      <c r="K12" s="15" t="s">
        <v>402</v>
      </c>
      <c r="L12" s="15" t="s">
        <v>413</v>
      </c>
    </row>
    <row r="13" spans="1:12" ht="15.75" customHeight="1" x14ac:dyDescent="0.25">
      <c r="A13" s="3" t="s">
        <v>414</v>
      </c>
      <c r="B13" s="3" t="s">
        <v>415</v>
      </c>
      <c r="C13" s="3" t="s">
        <v>307</v>
      </c>
      <c r="D13" s="3" t="s">
        <v>410</v>
      </c>
      <c r="E13" s="17" t="s">
        <v>375</v>
      </c>
      <c r="F13" s="16">
        <f>E13*1.02</f>
        <v>510</v>
      </c>
      <c r="G13" s="17" t="s">
        <v>376</v>
      </c>
      <c r="H13" s="12" t="s">
        <v>411</v>
      </c>
      <c r="I13" s="17" t="s">
        <v>416</v>
      </c>
      <c r="J13" s="17" t="s">
        <v>417</v>
      </c>
      <c r="K13" s="17" t="s">
        <v>402</v>
      </c>
      <c r="L13" s="17" t="s">
        <v>418</v>
      </c>
    </row>
    <row r="14" spans="1:12" ht="15.75" customHeight="1" x14ac:dyDescent="0.25"/>
    <row r="15" spans="1:12" ht="15.75" customHeight="1" x14ac:dyDescent="0.25"/>
    <row r="16" spans="1:12" ht="15.75" customHeight="1" x14ac:dyDescent="0.25">
      <c r="A16" s="40" t="s">
        <v>419</v>
      </c>
      <c r="B16" s="40"/>
      <c r="C16" s="40"/>
      <c r="D16" s="40"/>
      <c r="E16" s="40"/>
      <c r="F16" s="40"/>
      <c r="G16" s="40"/>
      <c r="H16" s="40"/>
      <c r="I16" s="40"/>
      <c r="J16" s="40"/>
      <c r="K16" s="40"/>
      <c r="L16" s="40"/>
    </row>
    <row r="17" spans="1:12" ht="15.75" customHeight="1" x14ac:dyDescent="0.25">
      <c r="A17" s="1" t="s">
        <v>420</v>
      </c>
      <c r="B17" s="1" t="s">
        <v>421</v>
      </c>
      <c r="C17" s="1" t="s">
        <v>422</v>
      </c>
      <c r="D17" s="1" t="s">
        <v>423</v>
      </c>
      <c r="E17" s="1" t="s">
        <v>424</v>
      </c>
      <c r="F17" s="1" t="s">
        <v>425</v>
      </c>
      <c r="G17" s="1" t="s">
        <v>426</v>
      </c>
      <c r="H17" s="1" t="s">
        <v>427</v>
      </c>
      <c r="I17" s="1" t="s">
        <v>428</v>
      </c>
      <c r="J17" s="1" t="s">
        <v>60</v>
      </c>
      <c r="K17" s="1"/>
      <c r="L17" s="1"/>
    </row>
    <row r="18" spans="1:12" ht="15.75" customHeight="1" x14ac:dyDescent="0.25">
      <c r="A18" s="2" t="s">
        <v>429</v>
      </c>
      <c r="B18" s="2" t="s">
        <v>365</v>
      </c>
      <c r="C18" s="2" t="s">
        <v>312</v>
      </c>
      <c r="D18" s="2" t="s">
        <v>430</v>
      </c>
      <c r="E18" s="2" t="s">
        <v>67</v>
      </c>
      <c r="F18" s="2" t="s">
        <v>431</v>
      </c>
      <c r="G18" s="2" t="s">
        <v>67</v>
      </c>
      <c r="H18" s="2" t="s">
        <v>432</v>
      </c>
      <c r="I18" s="2" t="s">
        <v>433</v>
      </c>
      <c r="J18" s="2" t="s">
        <v>434</v>
      </c>
      <c r="K18" s="2"/>
      <c r="L18" s="2"/>
    </row>
    <row r="19" spans="1:12" ht="15.75" customHeight="1" x14ac:dyDescent="0.25">
      <c r="A19" s="3" t="s">
        <v>435</v>
      </c>
      <c r="B19" s="3" t="s">
        <v>393</v>
      </c>
      <c r="C19" s="3" t="s">
        <v>312</v>
      </c>
      <c r="D19" s="3" t="s">
        <v>436</v>
      </c>
      <c r="E19" s="3" t="s">
        <v>67</v>
      </c>
      <c r="F19" s="3" t="s">
        <v>437</v>
      </c>
      <c r="G19" s="3" t="s">
        <v>67</v>
      </c>
      <c r="H19" s="3" t="s">
        <v>438</v>
      </c>
      <c r="I19" s="3" t="s">
        <v>433</v>
      </c>
      <c r="J19" s="3" t="s">
        <v>439</v>
      </c>
      <c r="K19" s="3"/>
      <c r="L19" s="3"/>
    </row>
    <row r="20" spans="1:12" ht="15.75" customHeight="1" x14ac:dyDescent="0.25">
      <c r="A20" s="2" t="s">
        <v>440</v>
      </c>
      <c r="B20" s="2" t="s">
        <v>400</v>
      </c>
      <c r="C20" s="2" t="s">
        <v>307</v>
      </c>
      <c r="D20" s="2" t="s">
        <v>441</v>
      </c>
      <c r="E20" s="10" t="s">
        <v>442</v>
      </c>
      <c r="F20" s="2" t="s">
        <v>443</v>
      </c>
      <c r="G20" s="2" t="s">
        <v>67</v>
      </c>
      <c r="H20" s="2" t="s">
        <v>444</v>
      </c>
      <c r="I20" s="2" t="s">
        <v>445</v>
      </c>
      <c r="J20" s="2" t="s">
        <v>446</v>
      </c>
      <c r="K20" s="2"/>
      <c r="L20" s="2"/>
    </row>
    <row r="21" spans="1:12" ht="15.75" customHeight="1" x14ac:dyDescent="0.25">
      <c r="A21" s="3" t="s">
        <v>447</v>
      </c>
      <c r="B21" s="3" t="s">
        <v>410</v>
      </c>
      <c r="C21" s="3" t="s">
        <v>307</v>
      </c>
      <c r="D21" s="3" t="s">
        <v>436</v>
      </c>
      <c r="E21" s="10" t="s">
        <v>448</v>
      </c>
      <c r="F21" s="3" t="s">
        <v>449</v>
      </c>
      <c r="G21" s="3" t="s">
        <v>67</v>
      </c>
      <c r="H21" s="3" t="s">
        <v>444</v>
      </c>
      <c r="I21" s="3" t="s">
        <v>445</v>
      </c>
      <c r="J21" s="3" t="s">
        <v>450</v>
      </c>
      <c r="K21" s="3"/>
      <c r="L21" s="3"/>
    </row>
  </sheetData>
  <mergeCells count="3">
    <mergeCell ref="A1:L1"/>
    <mergeCell ref="A2:L2"/>
    <mergeCell ref="A16:L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J31"/>
  <sheetViews>
    <sheetView showGridLines="0" zoomScaleNormal="100" workbookViewId="0">
      <selection activeCell="C17" sqref="C17"/>
    </sheetView>
  </sheetViews>
  <sheetFormatPr defaultColWidth="8.7109375" defaultRowHeight="15" x14ac:dyDescent="0.25"/>
  <cols>
    <col min="1" max="1" width="15.7109375" bestFit="1" customWidth="1"/>
    <col min="2" max="2" width="11.5703125" bestFit="1" customWidth="1"/>
    <col min="3" max="3" width="17.42578125" bestFit="1" customWidth="1"/>
    <col min="4" max="4" width="16.7109375" bestFit="1" customWidth="1"/>
    <col min="5" max="5" width="33.85546875" bestFit="1" customWidth="1"/>
    <col min="6" max="6" width="35.5703125" bestFit="1" customWidth="1"/>
    <col min="7" max="7" width="17.5703125" bestFit="1" customWidth="1"/>
    <col min="8" max="8" width="13.140625" bestFit="1" customWidth="1"/>
    <col min="9" max="9" width="52.28515625" bestFit="1" customWidth="1"/>
    <col min="10" max="10" width="12" customWidth="1"/>
  </cols>
  <sheetData>
    <row r="1" spans="1:10" ht="31.5" customHeight="1" x14ac:dyDescent="0.25">
      <c r="A1" s="31" t="s">
        <v>451</v>
      </c>
      <c r="B1" s="31"/>
      <c r="C1" s="31"/>
      <c r="D1" s="31"/>
      <c r="E1" s="31"/>
      <c r="F1" s="31"/>
      <c r="G1" s="31"/>
      <c r="H1" s="31"/>
      <c r="I1" s="31"/>
      <c r="J1" s="31"/>
    </row>
    <row r="2" spans="1:10" ht="39.75" customHeight="1" x14ac:dyDescent="0.25">
      <c r="A2" s="36" t="s">
        <v>452</v>
      </c>
      <c r="B2" s="36"/>
      <c r="C2" s="36"/>
      <c r="D2" s="36"/>
      <c r="E2" s="36"/>
      <c r="F2" s="36"/>
      <c r="G2" s="36"/>
      <c r="H2" s="36"/>
      <c r="I2" s="36"/>
      <c r="J2" s="36"/>
    </row>
    <row r="3" spans="1:10" ht="15.75" customHeight="1" x14ac:dyDescent="0.25"/>
    <row r="4" spans="1:10" ht="15.75" customHeight="1" x14ac:dyDescent="0.25">
      <c r="A4" s="40" t="s">
        <v>453</v>
      </c>
      <c r="B4" s="40"/>
      <c r="C4" s="40"/>
      <c r="D4" s="40"/>
      <c r="E4" s="40"/>
      <c r="F4" s="40"/>
      <c r="G4" s="40"/>
      <c r="H4" s="40"/>
      <c r="I4" s="40"/>
      <c r="J4" s="40"/>
    </row>
    <row r="5" spans="1:10" ht="15.75" customHeight="1" x14ac:dyDescent="0.25">
      <c r="A5" s="1" t="s">
        <v>454</v>
      </c>
      <c r="B5" s="1" t="s">
        <v>138</v>
      </c>
      <c r="C5" s="1" t="s">
        <v>455</v>
      </c>
      <c r="D5" s="1" t="s">
        <v>456</v>
      </c>
      <c r="E5" s="1" t="s">
        <v>56</v>
      </c>
      <c r="F5" s="1" t="s">
        <v>457</v>
      </c>
      <c r="G5" s="1" t="s">
        <v>458</v>
      </c>
      <c r="H5" s="1" t="s">
        <v>459</v>
      </c>
      <c r="I5" s="1" t="s">
        <v>60</v>
      </c>
      <c r="J5" s="1"/>
    </row>
    <row r="6" spans="1:10" ht="15.75" customHeight="1" x14ac:dyDescent="0.25">
      <c r="A6" s="2" t="s">
        <v>460</v>
      </c>
      <c r="B6" s="2" t="s">
        <v>145</v>
      </c>
      <c r="C6" s="8" t="s">
        <v>461</v>
      </c>
      <c r="D6" s="2" t="s">
        <v>462</v>
      </c>
      <c r="E6" s="2" t="s">
        <v>463</v>
      </c>
      <c r="F6" s="2" t="s">
        <v>464</v>
      </c>
      <c r="G6" s="2" t="s">
        <v>465</v>
      </c>
      <c r="H6" s="2" t="s">
        <v>65</v>
      </c>
      <c r="I6" s="2" t="s">
        <v>466</v>
      </c>
      <c r="J6" s="2"/>
    </row>
    <row r="7" spans="1:10" ht="15.75" customHeight="1" x14ac:dyDescent="0.25">
      <c r="A7" s="3" t="s">
        <v>467</v>
      </c>
      <c r="B7" s="3" t="s">
        <v>145</v>
      </c>
      <c r="C7" s="8" t="s">
        <v>461</v>
      </c>
      <c r="D7" s="3" t="s">
        <v>468</v>
      </c>
      <c r="E7" s="3" t="s">
        <v>469</v>
      </c>
      <c r="F7" s="3" t="s">
        <v>373</v>
      </c>
      <c r="G7" s="3" t="s">
        <v>470</v>
      </c>
      <c r="H7" s="3" t="s">
        <v>65</v>
      </c>
      <c r="I7" s="3" t="s">
        <v>471</v>
      </c>
      <c r="J7" s="3"/>
    </row>
    <row r="8" spans="1:10" ht="15.75" customHeight="1" x14ac:dyDescent="0.25">
      <c r="A8" s="2" t="s">
        <v>472</v>
      </c>
      <c r="B8" s="2" t="s">
        <v>145</v>
      </c>
      <c r="C8" s="8" t="s">
        <v>461</v>
      </c>
      <c r="D8" s="2" t="s">
        <v>473</v>
      </c>
      <c r="E8" s="2" t="s">
        <v>474</v>
      </c>
      <c r="F8" s="2" t="s">
        <v>475</v>
      </c>
      <c r="G8" s="2" t="s">
        <v>476</v>
      </c>
      <c r="H8" s="2" t="s">
        <v>65</v>
      </c>
      <c r="I8" s="2" t="s">
        <v>477</v>
      </c>
      <c r="J8" s="2"/>
    </row>
    <row r="9" spans="1:10" ht="15.75" customHeight="1" x14ac:dyDescent="0.25">
      <c r="A9" s="3" t="s">
        <v>478</v>
      </c>
      <c r="B9" s="3" t="s">
        <v>479</v>
      </c>
      <c r="C9" s="8" t="s">
        <v>461</v>
      </c>
      <c r="D9" s="3" t="s">
        <v>480</v>
      </c>
      <c r="E9" s="3" t="s">
        <v>481</v>
      </c>
      <c r="F9" s="3" t="s">
        <v>482</v>
      </c>
      <c r="G9" s="3" t="s">
        <v>483</v>
      </c>
      <c r="H9" s="3" t="s">
        <v>144</v>
      </c>
      <c r="I9" s="3" t="s">
        <v>484</v>
      </c>
      <c r="J9" s="3"/>
    </row>
    <row r="10" spans="1:10" ht="15.75" customHeight="1" x14ac:dyDescent="0.25">
      <c r="A10" s="2" t="s">
        <v>485</v>
      </c>
      <c r="B10" s="2" t="s">
        <v>158</v>
      </c>
      <c r="C10" s="8" t="s">
        <v>461</v>
      </c>
      <c r="D10" s="2" t="s">
        <v>37</v>
      </c>
      <c r="E10" s="2" t="s">
        <v>486</v>
      </c>
      <c r="F10" s="2" t="s">
        <v>487</v>
      </c>
      <c r="G10" s="2" t="s">
        <v>488</v>
      </c>
      <c r="H10" s="2" t="s">
        <v>65</v>
      </c>
      <c r="I10" s="2" t="s">
        <v>489</v>
      </c>
      <c r="J10" s="2"/>
    </row>
    <row r="11" spans="1:10" ht="15.75" customHeight="1" x14ac:dyDescent="0.25">
      <c r="A11" s="3" t="s">
        <v>490</v>
      </c>
      <c r="B11" s="3" t="s">
        <v>158</v>
      </c>
      <c r="C11" s="8" t="s">
        <v>461</v>
      </c>
      <c r="D11" s="3" t="s">
        <v>491</v>
      </c>
      <c r="E11" s="3" t="s">
        <v>492</v>
      </c>
      <c r="F11" s="3" t="s">
        <v>493</v>
      </c>
      <c r="G11" s="3" t="s">
        <v>65</v>
      </c>
      <c r="H11" s="3" t="s">
        <v>157</v>
      </c>
      <c r="I11" s="3" t="s">
        <v>494</v>
      </c>
      <c r="J11" s="3"/>
    </row>
    <row r="12" spans="1:10" ht="15.75" customHeight="1" x14ac:dyDescent="0.25">
      <c r="A12" s="2" t="s">
        <v>495</v>
      </c>
      <c r="B12" s="2" t="s">
        <v>158</v>
      </c>
      <c r="C12" s="8" t="s">
        <v>461</v>
      </c>
      <c r="D12" s="2" t="s">
        <v>496</v>
      </c>
      <c r="E12" s="2" t="s">
        <v>497</v>
      </c>
      <c r="F12" s="2" t="s">
        <v>498</v>
      </c>
      <c r="G12" s="2" t="s">
        <v>65</v>
      </c>
      <c r="H12" s="2" t="s">
        <v>164</v>
      </c>
      <c r="I12" s="2" t="s">
        <v>499</v>
      </c>
      <c r="J12" s="2"/>
    </row>
    <row r="13" spans="1:10" ht="15.75" customHeight="1" x14ac:dyDescent="0.25">
      <c r="A13" s="3" t="s">
        <v>500</v>
      </c>
      <c r="B13" s="3" t="s">
        <v>152</v>
      </c>
      <c r="C13" s="8" t="s">
        <v>461</v>
      </c>
      <c r="D13" s="3" t="s">
        <v>501</v>
      </c>
      <c r="E13" s="3" t="s">
        <v>502</v>
      </c>
      <c r="F13" s="3" t="s">
        <v>503</v>
      </c>
      <c r="G13" s="3" t="s">
        <v>65</v>
      </c>
      <c r="H13" s="3" t="s">
        <v>65</v>
      </c>
      <c r="I13" s="3" t="s">
        <v>504</v>
      </c>
      <c r="J13" s="3"/>
    </row>
    <row r="14" spans="1:10" ht="15.75" customHeight="1" x14ac:dyDescent="0.25">
      <c r="A14" s="2" t="s">
        <v>505</v>
      </c>
      <c r="B14" s="2" t="s">
        <v>506</v>
      </c>
      <c r="C14" s="8" t="s">
        <v>461</v>
      </c>
      <c r="D14" s="2" t="s">
        <v>507</v>
      </c>
      <c r="E14" s="2" t="s">
        <v>508</v>
      </c>
      <c r="F14" s="2" t="s">
        <v>509</v>
      </c>
      <c r="G14" s="2" t="s">
        <v>65</v>
      </c>
      <c r="H14" s="2" t="s">
        <v>65</v>
      </c>
      <c r="I14" s="2" t="s">
        <v>510</v>
      </c>
      <c r="J14" s="2"/>
    </row>
    <row r="15" spans="1:10" ht="15.75" customHeight="1" x14ac:dyDescent="0.25">
      <c r="A15" s="3" t="s">
        <v>511</v>
      </c>
      <c r="B15" s="3" t="s">
        <v>506</v>
      </c>
      <c r="C15" s="12" t="s">
        <v>67</v>
      </c>
      <c r="D15" s="3" t="s">
        <v>512</v>
      </c>
      <c r="E15" s="3" t="s">
        <v>513</v>
      </c>
      <c r="F15" s="3" t="s">
        <v>514</v>
      </c>
      <c r="G15" s="3" t="s">
        <v>65</v>
      </c>
      <c r="H15" s="3" t="s">
        <v>65</v>
      </c>
      <c r="I15" s="3" t="s">
        <v>515</v>
      </c>
      <c r="J15" s="3"/>
    </row>
    <row r="16" spans="1:10" ht="15.75" customHeight="1" x14ac:dyDescent="0.25">
      <c r="A16" s="2" t="s">
        <v>516</v>
      </c>
      <c r="B16" s="2" t="s">
        <v>145</v>
      </c>
      <c r="C16" s="8" t="s">
        <v>461</v>
      </c>
      <c r="D16" s="2" t="s">
        <v>20</v>
      </c>
      <c r="E16" s="2" t="s">
        <v>517</v>
      </c>
      <c r="F16" s="2" t="s">
        <v>429</v>
      </c>
      <c r="G16" s="2" t="s">
        <v>65</v>
      </c>
      <c r="H16" s="2" t="s">
        <v>65</v>
      </c>
      <c r="I16" s="2" t="s">
        <v>518</v>
      </c>
      <c r="J16" s="2"/>
    </row>
    <row r="17" spans="1:10" ht="15.75" customHeight="1" x14ac:dyDescent="0.25">
      <c r="A17" s="3" t="s">
        <v>519</v>
      </c>
      <c r="B17" s="3" t="s">
        <v>176</v>
      </c>
      <c r="C17" s="8" t="s">
        <v>461</v>
      </c>
      <c r="D17" s="3" t="s">
        <v>520</v>
      </c>
      <c r="E17" s="3" t="s">
        <v>521</v>
      </c>
      <c r="F17" s="3" t="s">
        <v>368</v>
      </c>
      <c r="G17" s="3" t="s">
        <v>65</v>
      </c>
      <c r="H17" s="3" t="s">
        <v>65</v>
      </c>
      <c r="I17" s="3" t="s">
        <v>522</v>
      </c>
      <c r="J17" s="3"/>
    </row>
    <row r="18" spans="1:10" ht="15.75" customHeight="1" x14ac:dyDescent="0.25">
      <c r="A18" s="2" t="s">
        <v>523</v>
      </c>
      <c r="B18" s="2" t="s">
        <v>145</v>
      </c>
      <c r="C18" s="12" t="s">
        <v>67</v>
      </c>
      <c r="D18" s="2" t="s">
        <v>524</v>
      </c>
      <c r="E18" s="2" t="s">
        <v>525</v>
      </c>
      <c r="F18" s="2" t="s">
        <v>526</v>
      </c>
      <c r="G18" s="2" t="s">
        <v>527</v>
      </c>
      <c r="H18" s="2" t="s">
        <v>65</v>
      </c>
      <c r="I18" s="2" t="s">
        <v>528</v>
      </c>
      <c r="J18" s="2"/>
    </row>
    <row r="19" spans="1:10" ht="15.75" customHeight="1" x14ac:dyDescent="0.25">
      <c r="A19" s="3" t="s">
        <v>529</v>
      </c>
      <c r="B19" s="3" t="s">
        <v>145</v>
      </c>
      <c r="C19" s="12" t="s">
        <v>67</v>
      </c>
      <c r="D19" s="3" t="s">
        <v>524</v>
      </c>
      <c r="E19" s="3" t="s">
        <v>530</v>
      </c>
      <c r="F19" s="3" t="s">
        <v>65</v>
      </c>
      <c r="G19" s="3" t="s">
        <v>65</v>
      </c>
      <c r="H19" s="3" t="s">
        <v>65</v>
      </c>
      <c r="I19" s="3" t="s">
        <v>531</v>
      </c>
      <c r="J19" s="3"/>
    </row>
    <row r="20" spans="1:10" ht="15.75" customHeight="1" x14ac:dyDescent="0.25"/>
    <row r="21" spans="1:10" ht="15.75" customHeight="1" x14ac:dyDescent="0.25"/>
    <row r="22" spans="1:10" ht="15.75" customHeight="1" x14ac:dyDescent="0.25"/>
    <row r="23" spans="1:10" ht="15.75" customHeight="1" x14ac:dyDescent="0.25">
      <c r="A23" s="40" t="s">
        <v>532</v>
      </c>
      <c r="B23" s="40"/>
      <c r="C23" s="40"/>
      <c r="D23" s="40"/>
      <c r="E23" s="40"/>
      <c r="F23" s="40"/>
      <c r="G23" s="40"/>
      <c r="H23" s="40"/>
      <c r="I23" s="40"/>
      <c r="J23" s="40"/>
    </row>
    <row r="24" spans="1:10" ht="15.75" customHeight="1" x14ac:dyDescent="0.25">
      <c r="A24" s="1" t="s">
        <v>533</v>
      </c>
      <c r="B24" s="1" t="s">
        <v>534</v>
      </c>
      <c r="C24" s="1" t="s">
        <v>535</v>
      </c>
      <c r="D24" s="1" t="s">
        <v>536</v>
      </c>
      <c r="E24" s="1" t="s">
        <v>537</v>
      </c>
      <c r="F24" s="1" t="s">
        <v>60</v>
      </c>
      <c r="G24" s="1"/>
      <c r="H24" s="1"/>
      <c r="I24" s="1"/>
      <c r="J24" s="1"/>
    </row>
    <row r="25" spans="1:10" ht="15.75" customHeight="1" x14ac:dyDescent="0.25">
      <c r="A25" s="3" t="s">
        <v>65</v>
      </c>
      <c r="B25" s="7" t="s">
        <v>538</v>
      </c>
      <c r="C25" s="3" t="s">
        <v>539</v>
      </c>
      <c r="D25" s="3" t="s">
        <v>540</v>
      </c>
      <c r="E25" s="3" t="s">
        <v>541</v>
      </c>
      <c r="F25" s="3" t="s">
        <v>542</v>
      </c>
      <c r="G25" s="3"/>
      <c r="H25" s="3"/>
      <c r="I25" s="3"/>
      <c r="J25" s="3"/>
    </row>
    <row r="26" spans="1:10" ht="15.75" customHeight="1" x14ac:dyDescent="0.25">
      <c r="A26" s="2" t="s">
        <v>538</v>
      </c>
      <c r="B26" s="8" t="s">
        <v>482</v>
      </c>
      <c r="C26" s="2" t="s">
        <v>543</v>
      </c>
      <c r="D26" s="2" t="s">
        <v>544</v>
      </c>
      <c r="E26" s="2" t="s">
        <v>545</v>
      </c>
      <c r="F26" s="2" t="s">
        <v>546</v>
      </c>
      <c r="G26" s="2"/>
      <c r="H26" s="2"/>
      <c r="I26" s="2"/>
      <c r="J26" s="2"/>
    </row>
    <row r="27" spans="1:10" ht="15.75" customHeight="1" x14ac:dyDescent="0.25">
      <c r="A27" s="3" t="s">
        <v>482</v>
      </c>
      <c r="B27" s="6" t="s">
        <v>547</v>
      </c>
      <c r="C27" s="3" t="s">
        <v>548</v>
      </c>
      <c r="D27" s="3" t="s">
        <v>544</v>
      </c>
      <c r="E27" s="3" t="s">
        <v>549</v>
      </c>
      <c r="F27" s="3" t="s">
        <v>550</v>
      </c>
      <c r="G27" s="3"/>
      <c r="H27" s="3"/>
      <c r="I27" s="3"/>
      <c r="J27" s="3"/>
    </row>
    <row r="28" spans="1:10" ht="15.75" customHeight="1" x14ac:dyDescent="0.25">
      <c r="A28" s="2" t="s">
        <v>482</v>
      </c>
      <c r="B28" s="10" t="s">
        <v>551</v>
      </c>
      <c r="C28" s="2" t="s">
        <v>552</v>
      </c>
      <c r="D28" s="2" t="s">
        <v>544</v>
      </c>
      <c r="E28" s="2" t="s">
        <v>553</v>
      </c>
      <c r="F28" s="2" t="s">
        <v>554</v>
      </c>
      <c r="G28" s="2"/>
      <c r="H28" s="2"/>
      <c r="I28" s="2"/>
      <c r="J28" s="2"/>
    </row>
    <row r="29" spans="1:10" ht="15.75" customHeight="1" x14ac:dyDescent="0.25">
      <c r="A29" s="3" t="s">
        <v>551</v>
      </c>
      <c r="B29" s="8" t="s">
        <v>482</v>
      </c>
      <c r="C29" s="3" t="s">
        <v>555</v>
      </c>
      <c r="D29" s="3" t="s">
        <v>556</v>
      </c>
      <c r="E29" s="3" t="s">
        <v>557</v>
      </c>
      <c r="F29" s="3" t="s">
        <v>558</v>
      </c>
      <c r="G29" s="3"/>
      <c r="H29" s="3"/>
      <c r="I29" s="3"/>
      <c r="J29" s="3"/>
    </row>
    <row r="30" spans="1:10" ht="15.75" customHeight="1" x14ac:dyDescent="0.25">
      <c r="A30" s="2" t="s">
        <v>551</v>
      </c>
      <c r="B30" s="12" t="s">
        <v>559</v>
      </c>
      <c r="C30" s="2" t="s">
        <v>560</v>
      </c>
      <c r="D30" s="2" t="s">
        <v>556</v>
      </c>
      <c r="E30" s="2" t="s">
        <v>561</v>
      </c>
      <c r="F30" s="2" t="s">
        <v>562</v>
      </c>
      <c r="G30" s="2"/>
      <c r="H30" s="2"/>
      <c r="I30" s="2"/>
      <c r="J30" s="2"/>
    </row>
    <row r="31" spans="1:10" ht="15.75" customHeight="1" x14ac:dyDescent="0.25">
      <c r="A31" s="3" t="s">
        <v>547</v>
      </c>
      <c r="B31" s="9" t="s">
        <v>65</v>
      </c>
      <c r="C31" s="3" t="s">
        <v>65</v>
      </c>
      <c r="D31" s="3" t="s">
        <v>65</v>
      </c>
      <c r="E31" s="3" t="s">
        <v>563</v>
      </c>
      <c r="F31" s="3" t="s">
        <v>564</v>
      </c>
      <c r="G31" s="3"/>
      <c r="H31" s="3"/>
      <c r="I31" s="3"/>
      <c r="J31" s="3"/>
    </row>
  </sheetData>
  <mergeCells count="4">
    <mergeCell ref="A1:J1"/>
    <mergeCell ref="A2:J2"/>
    <mergeCell ref="A4:J4"/>
    <mergeCell ref="A23:J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K22"/>
  <sheetViews>
    <sheetView showGridLines="0" zoomScaleNormal="100" workbookViewId="0">
      <pane ySplit="5" topLeftCell="A6" activePane="bottomLeft" state="frozen"/>
      <selection pane="bottomLeft" activeCell="C25" sqref="C25"/>
    </sheetView>
  </sheetViews>
  <sheetFormatPr defaultColWidth="8.7109375" defaultRowHeight="15" x14ac:dyDescent="0.25"/>
  <cols>
    <col min="1" max="1" width="17.28515625" bestFit="1" customWidth="1"/>
    <col min="2" max="2" width="18.140625" bestFit="1" customWidth="1"/>
    <col min="3" max="3" width="14" bestFit="1" customWidth="1"/>
    <col min="4" max="4" width="33.5703125" bestFit="1" customWidth="1"/>
    <col min="5" max="5" width="39.7109375" bestFit="1" customWidth="1"/>
    <col min="6" max="6" width="16.5703125" bestFit="1" customWidth="1"/>
    <col min="7" max="7" width="22.28515625" bestFit="1" customWidth="1"/>
    <col min="8" max="8" width="30.5703125" bestFit="1" customWidth="1"/>
    <col min="9" max="9" width="11.42578125" bestFit="1" customWidth="1"/>
    <col min="10" max="10" width="15.140625" bestFit="1" customWidth="1"/>
    <col min="11" max="11" width="26.42578125" bestFit="1" customWidth="1"/>
  </cols>
  <sheetData>
    <row r="1" spans="1:11" ht="31.5" customHeight="1" x14ac:dyDescent="0.25">
      <c r="A1" s="31" t="s">
        <v>565</v>
      </c>
      <c r="B1" s="31"/>
      <c r="C1" s="31"/>
      <c r="D1" s="31"/>
      <c r="E1" s="31"/>
      <c r="F1" s="31"/>
      <c r="G1" s="31"/>
      <c r="H1" s="31"/>
      <c r="I1" s="31"/>
      <c r="J1" s="31"/>
      <c r="K1" s="31"/>
    </row>
    <row r="2" spans="1:11" ht="15.75" customHeight="1" x14ac:dyDescent="0.25">
      <c r="A2" s="36" t="s">
        <v>566</v>
      </c>
      <c r="B2" s="36"/>
      <c r="C2" s="36"/>
      <c r="D2" s="36"/>
      <c r="E2" s="36"/>
      <c r="F2" s="36"/>
      <c r="G2" s="36"/>
      <c r="H2" s="36"/>
      <c r="I2" s="36"/>
      <c r="J2" s="36"/>
      <c r="K2" s="36"/>
    </row>
    <row r="3" spans="1:11" ht="15.75" customHeight="1" x14ac:dyDescent="0.25"/>
    <row r="4" spans="1:11" ht="15.75" customHeight="1" x14ac:dyDescent="0.25">
      <c r="A4" s="40" t="s">
        <v>567</v>
      </c>
      <c r="B4" s="40"/>
      <c r="C4" s="40"/>
      <c r="D4" s="40"/>
      <c r="E4" s="40"/>
      <c r="F4" s="40"/>
      <c r="G4" s="40"/>
      <c r="H4" s="40"/>
      <c r="I4" s="40"/>
      <c r="J4" s="40"/>
      <c r="K4" s="40"/>
    </row>
    <row r="5" spans="1:11" ht="15.75" customHeight="1" x14ac:dyDescent="0.25">
      <c r="A5" s="1" t="s">
        <v>352</v>
      </c>
      <c r="B5" s="1" t="s">
        <v>353</v>
      </c>
      <c r="C5" s="1" t="s">
        <v>86</v>
      </c>
      <c r="D5" s="1" t="s">
        <v>92</v>
      </c>
      <c r="E5" s="1" t="s">
        <v>98</v>
      </c>
      <c r="F5" s="1" t="s">
        <v>103</v>
      </c>
      <c r="G5" s="1" t="s">
        <v>108</v>
      </c>
      <c r="H5" s="1" t="s">
        <v>113</v>
      </c>
      <c r="I5" s="1" t="s">
        <v>118</v>
      </c>
      <c r="J5" s="1" t="s">
        <v>124</v>
      </c>
      <c r="K5" s="1" t="s">
        <v>60</v>
      </c>
    </row>
    <row r="6" spans="1:11" ht="15.75" customHeight="1" x14ac:dyDescent="0.25">
      <c r="A6" s="2" t="s">
        <v>363</v>
      </c>
      <c r="B6" s="2" t="s">
        <v>568</v>
      </c>
      <c r="C6" s="18" t="s">
        <v>455</v>
      </c>
      <c r="D6" s="18" t="s">
        <v>455</v>
      </c>
      <c r="E6" s="18" t="s">
        <v>455</v>
      </c>
      <c r="F6" s="18" t="s">
        <v>455</v>
      </c>
      <c r="G6" s="18" t="s">
        <v>455</v>
      </c>
      <c r="H6" s="18" t="s">
        <v>455</v>
      </c>
      <c r="I6" s="19" t="s">
        <v>569</v>
      </c>
      <c r="J6" s="18" t="s">
        <v>455</v>
      </c>
      <c r="K6" s="2" t="s">
        <v>570</v>
      </c>
    </row>
    <row r="7" spans="1:11" ht="15.75" customHeight="1" x14ac:dyDescent="0.25">
      <c r="A7" s="3" t="s">
        <v>373</v>
      </c>
      <c r="B7" s="3" t="s">
        <v>571</v>
      </c>
      <c r="C7" s="18" t="s">
        <v>455</v>
      </c>
      <c r="D7" s="18" t="s">
        <v>455</v>
      </c>
      <c r="E7" s="18" t="s">
        <v>455</v>
      </c>
      <c r="F7" s="18" t="s">
        <v>455</v>
      </c>
      <c r="G7" s="18" t="s">
        <v>455</v>
      </c>
      <c r="H7" s="18" t="s">
        <v>455</v>
      </c>
      <c r="I7" s="19" t="s">
        <v>569</v>
      </c>
      <c r="J7" s="18" t="s">
        <v>455</v>
      </c>
      <c r="K7" s="3" t="s">
        <v>570</v>
      </c>
    </row>
    <row r="8" spans="1:11" ht="15.75" customHeight="1" x14ac:dyDescent="0.25">
      <c r="A8" s="2" t="s">
        <v>379</v>
      </c>
      <c r="B8" s="2" t="s">
        <v>572</v>
      </c>
      <c r="C8" s="18" t="s">
        <v>455</v>
      </c>
      <c r="D8" s="18" t="s">
        <v>455</v>
      </c>
      <c r="E8" s="18" t="s">
        <v>455</v>
      </c>
      <c r="F8" s="18" t="s">
        <v>455</v>
      </c>
      <c r="G8" s="18" t="s">
        <v>455</v>
      </c>
      <c r="H8" s="18" t="s">
        <v>455</v>
      </c>
      <c r="I8" s="19" t="s">
        <v>569</v>
      </c>
      <c r="J8" s="18" t="s">
        <v>455</v>
      </c>
      <c r="K8" s="2" t="s">
        <v>573</v>
      </c>
    </row>
    <row r="9" spans="1:11" ht="15.75" customHeight="1" x14ac:dyDescent="0.25">
      <c r="A9" s="3" t="s">
        <v>385</v>
      </c>
      <c r="B9" s="3" t="s">
        <v>574</v>
      </c>
      <c r="C9" s="18" t="s">
        <v>455</v>
      </c>
      <c r="D9" s="18" t="s">
        <v>455</v>
      </c>
      <c r="E9" s="18" t="s">
        <v>455</v>
      </c>
      <c r="F9" s="18" t="s">
        <v>455</v>
      </c>
      <c r="G9" s="18" t="s">
        <v>455</v>
      </c>
      <c r="H9" s="18" t="s">
        <v>455</v>
      </c>
      <c r="I9" s="19" t="s">
        <v>569</v>
      </c>
      <c r="J9" s="18" t="s">
        <v>455</v>
      </c>
      <c r="K9" s="3" t="s">
        <v>575</v>
      </c>
    </row>
    <row r="10" spans="1:11" ht="15.75" customHeight="1" x14ac:dyDescent="0.25">
      <c r="A10" s="2" t="s">
        <v>391</v>
      </c>
      <c r="B10" s="2" t="s">
        <v>392</v>
      </c>
      <c r="C10" s="18" t="s">
        <v>455</v>
      </c>
      <c r="D10" s="18" t="s">
        <v>455</v>
      </c>
      <c r="E10" s="18" t="s">
        <v>455</v>
      </c>
      <c r="F10" s="18" t="s">
        <v>455</v>
      </c>
      <c r="G10" s="18" t="s">
        <v>455</v>
      </c>
      <c r="H10" s="18" t="s">
        <v>455</v>
      </c>
      <c r="I10" s="19" t="s">
        <v>569</v>
      </c>
      <c r="J10" s="18" t="s">
        <v>455</v>
      </c>
      <c r="K10" s="2"/>
    </row>
    <row r="11" spans="1:11" ht="15.75" customHeight="1" x14ac:dyDescent="0.25">
      <c r="A11" s="3" t="s">
        <v>396</v>
      </c>
      <c r="B11" s="3" t="s">
        <v>397</v>
      </c>
      <c r="C11" s="18" t="s">
        <v>455</v>
      </c>
      <c r="D11" s="18" t="s">
        <v>455</v>
      </c>
      <c r="E11" s="18" t="s">
        <v>455</v>
      </c>
      <c r="F11" s="18" t="s">
        <v>455</v>
      </c>
      <c r="G11" s="18" t="s">
        <v>455</v>
      </c>
      <c r="H11" s="18" t="s">
        <v>455</v>
      </c>
      <c r="I11" s="19" t="s">
        <v>569</v>
      </c>
      <c r="J11" s="18" t="s">
        <v>455</v>
      </c>
      <c r="K11" s="3"/>
    </row>
    <row r="12" spans="1:11" ht="15.75" customHeight="1" x14ac:dyDescent="0.25">
      <c r="A12" s="2" t="s">
        <v>398</v>
      </c>
      <c r="B12" s="2" t="s">
        <v>576</v>
      </c>
      <c r="C12" s="18" t="s">
        <v>455</v>
      </c>
      <c r="D12" s="18" t="s">
        <v>455</v>
      </c>
      <c r="E12" s="18" t="s">
        <v>455</v>
      </c>
      <c r="F12" s="18" t="s">
        <v>455</v>
      </c>
      <c r="G12" s="18" t="s">
        <v>455</v>
      </c>
      <c r="H12" s="18" t="s">
        <v>455</v>
      </c>
      <c r="I12" s="19" t="s">
        <v>569</v>
      </c>
      <c r="J12" s="18" t="s">
        <v>455</v>
      </c>
      <c r="K12" s="2" t="s">
        <v>577</v>
      </c>
    </row>
    <row r="13" spans="1:11" ht="15.75" customHeight="1" x14ac:dyDescent="0.25">
      <c r="A13" s="3" t="s">
        <v>404</v>
      </c>
      <c r="B13" s="3" t="s">
        <v>578</v>
      </c>
      <c r="C13" s="18" t="s">
        <v>455</v>
      </c>
      <c r="D13" s="18" t="s">
        <v>455</v>
      </c>
      <c r="E13" s="18" t="s">
        <v>455</v>
      </c>
      <c r="F13" s="18" t="s">
        <v>455</v>
      </c>
      <c r="G13" s="18" t="s">
        <v>455</v>
      </c>
      <c r="H13" s="18" t="s">
        <v>455</v>
      </c>
      <c r="I13" s="19" t="s">
        <v>569</v>
      </c>
      <c r="J13" s="18" t="s">
        <v>455</v>
      </c>
      <c r="K13" s="3" t="s">
        <v>579</v>
      </c>
    </row>
    <row r="14" spans="1:11" ht="15.75" customHeight="1" x14ac:dyDescent="0.25">
      <c r="A14" s="2" t="s">
        <v>408</v>
      </c>
      <c r="B14" s="2" t="s">
        <v>580</v>
      </c>
      <c r="C14" s="18" t="s">
        <v>455</v>
      </c>
      <c r="D14" s="18" t="s">
        <v>455</v>
      </c>
      <c r="E14" s="18" t="s">
        <v>455</v>
      </c>
      <c r="F14" s="18" t="s">
        <v>455</v>
      </c>
      <c r="G14" s="18" t="s">
        <v>455</v>
      </c>
      <c r="H14" s="18" t="s">
        <v>455</v>
      </c>
      <c r="I14" s="18" t="s">
        <v>455</v>
      </c>
      <c r="J14" s="18" t="s">
        <v>455</v>
      </c>
      <c r="K14" s="2" t="s">
        <v>581</v>
      </c>
    </row>
    <row r="15" spans="1:11" ht="15.75" customHeight="1" x14ac:dyDescent="0.25">
      <c r="A15" s="3" t="s">
        <v>414</v>
      </c>
      <c r="B15" s="3" t="s">
        <v>582</v>
      </c>
      <c r="C15" s="18" t="s">
        <v>455</v>
      </c>
      <c r="D15" s="18" t="s">
        <v>455</v>
      </c>
      <c r="E15" s="18" t="s">
        <v>455</v>
      </c>
      <c r="F15" s="18" t="s">
        <v>455</v>
      </c>
      <c r="G15" s="18" t="s">
        <v>455</v>
      </c>
      <c r="H15" s="18" t="s">
        <v>455</v>
      </c>
      <c r="I15" s="18" t="s">
        <v>455</v>
      </c>
      <c r="J15" s="18" t="s">
        <v>455</v>
      </c>
      <c r="K15" s="3" t="s">
        <v>583</v>
      </c>
    </row>
    <row r="16" spans="1:11" ht="15.75" customHeight="1" x14ac:dyDescent="0.25"/>
    <row r="17" spans="1:11" ht="15.75" customHeight="1" x14ac:dyDescent="0.25"/>
    <row r="18" spans="1:11" ht="15.75" customHeight="1" x14ac:dyDescent="0.25">
      <c r="A18" s="40" t="s">
        <v>584</v>
      </c>
      <c r="B18" s="40"/>
      <c r="C18" s="40"/>
      <c r="D18" s="40"/>
      <c r="E18" s="40"/>
      <c r="F18" s="40"/>
      <c r="G18" s="40"/>
      <c r="H18" s="40"/>
      <c r="I18" s="40"/>
      <c r="J18" s="40"/>
      <c r="K18" s="40"/>
    </row>
    <row r="19" spans="1:11" ht="15.75" customHeight="1" x14ac:dyDescent="0.25">
      <c r="A19" s="1" t="s">
        <v>585</v>
      </c>
      <c r="B19" s="1" t="s">
        <v>586</v>
      </c>
      <c r="C19" s="1" t="s">
        <v>587</v>
      </c>
      <c r="D19" s="1" t="s">
        <v>588</v>
      </c>
      <c r="E19" s="1" t="s">
        <v>589</v>
      </c>
      <c r="F19" s="1" t="s">
        <v>590</v>
      </c>
      <c r="G19" s="1" t="s">
        <v>591</v>
      </c>
      <c r="H19" s="1" t="s">
        <v>60</v>
      </c>
      <c r="I19" s="1"/>
      <c r="J19" s="1"/>
      <c r="K19" s="1"/>
    </row>
    <row r="20" spans="1:11" ht="15.75" customHeight="1" x14ac:dyDescent="0.25">
      <c r="A20" s="2" t="s">
        <v>592</v>
      </c>
      <c r="B20" s="10" t="s">
        <v>593</v>
      </c>
      <c r="C20" s="2" t="s">
        <v>594</v>
      </c>
      <c r="D20" s="2" t="s">
        <v>595</v>
      </c>
      <c r="E20" s="2" t="s">
        <v>596</v>
      </c>
      <c r="F20" s="2" t="s">
        <v>67</v>
      </c>
      <c r="G20" s="2" t="s">
        <v>597</v>
      </c>
      <c r="H20" s="2" t="s">
        <v>598</v>
      </c>
      <c r="I20" s="2"/>
      <c r="J20" s="2"/>
      <c r="K20" s="2"/>
    </row>
    <row r="21" spans="1:11" ht="15.75" customHeight="1" x14ac:dyDescent="0.25">
      <c r="A21" s="3" t="s">
        <v>599</v>
      </c>
      <c r="B21" s="10" t="s">
        <v>600</v>
      </c>
      <c r="C21" s="3" t="s">
        <v>601</v>
      </c>
      <c r="D21" s="3" t="s">
        <v>602</v>
      </c>
      <c r="E21" s="3" t="s">
        <v>603</v>
      </c>
      <c r="F21" s="3" t="s">
        <v>67</v>
      </c>
      <c r="G21" s="3" t="s">
        <v>597</v>
      </c>
      <c r="H21" s="3" t="s">
        <v>604</v>
      </c>
      <c r="I21" s="3"/>
      <c r="J21" s="3"/>
      <c r="K21" s="3"/>
    </row>
    <row r="22" spans="1:11" ht="15.75" customHeight="1" x14ac:dyDescent="0.25">
      <c r="A22" s="2" t="s">
        <v>605</v>
      </c>
      <c r="B22" s="10" t="s">
        <v>606</v>
      </c>
      <c r="C22" s="2" t="s">
        <v>607</v>
      </c>
      <c r="D22" s="2" t="s">
        <v>608</v>
      </c>
      <c r="E22" s="2" t="s">
        <v>609</v>
      </c>
      <c r="F22" s="2" t="s">
        <v>610</v>
      </c>
      <c r="G22" s="2" t="s">
        <v>611</v>
      </c>
      <c r="H22" s="2" t="s">
        <v>612</v>
      </c>
      <c r="I22" s="2"/>
      <c r="J22" s="2"/>
      <c r="K22" s="2"/>
    </row>
  </sheetData>
  <mergeCells count="4">
    <mergeCell ref="A1:K1"/>
    <mergeCell ref="A2:K2"/>
    <mergeCell ref="A4:K4"/>
    <mergeCell ref="A18:K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J17"/>
  <sheetViews>
    <sheetView showGridLines="0" zoomScaleNormal="100" workbookViewId="0">
      <pane ySplit="3" topLeftCell="A4" activePane="bottomLeft" state="frozen"/>
      <selection pane="bottomLeft" activeCell="D21" sqref="D21"/>
    </sheetView>
  </sheetViews>
  <sheetFormatPr defaultColWidth="8.7109375" defaultRowHeight="15" x14ac:dyDescent="0.25"/>
  <cols>
    <col min="1" max="1" width="12.7109375" bestFit="1" customWidth="1"/>
    <col min="2" max="2" width="23.85546875" bestFit="1" customWidth="1"/>
    <col min="3" max="3" width="18.42578125" bestFit="1" customWidth="1"/>
    <col min="4" max="4" width="27.28515625" bestFit="1" customWidth="1"/>
    <col min="5" max="5" width="51.5703125" bestFit="1" customWidth="1"/>
    <col min="6" max="6" width="21.5703125" bestFit="1" customWidth="1"/>
    <col min="7" max="7" width="19" bestFit="1" customWidth="1"/>
    <col min="8" max="8" width="39.7109375" bestFit="1" customWidth="1"/>
    <col min="9" max="9" width="22.28515625" bestFit="1" customWidth="1"/>
    <col min="10" max="10" width="67" bestFit="1" customWidth="1"/>
  </cols>
  <sheetData>
    <row r="1" spans="1:10" ht="31.5" customHeight="1" x14ac:dyDescent="0.25">
      <c r="A1" s="31" t="s">
        <v>613</v>
      </c>
      <c r="B1" s="31"/>
      <c r="C1" s="31"/>
      <c r="D1" s="31"/>
      <c r="E1" s="31"/>
      <c r="F1" s="31"/>
      <c r="G1" s="31"/>
      <c r="H1" s="31"/>
      <c r="I1" s="31"/>
      <c r="J1" s="31"/>
    </row>
    <row r="2" spans="1:10" ht="15.75" customHeight="1" x14ac:dyDescent="0.25">
      <c r="A2" s="36" t="s">
        <v>614</v>
      </c>
      <c r="B2" s="36"/>
      <c r="C2" s="36"/>
      <c r="D2" s="36"/>
      <c r="E2" s="36"/>
      <c r="F2" s="36"/>
      <c r="G2" s="36"/>
      <c r="H2" s="36"/>
      <c r="I2" s="36"/>
      <c r="J2" s="36"/>
    </row>
    <row r="3" spans="1:10" ht="15.75" customHeight="1" x14ac:dyDescent="0.25">
      <c r="A3" s="4" t="s">
        <v>615</v>
      </c>
      <c r="B3" s="4" t="s">
        <v>616</v>
      </c>
      <c r="C3" s="4" t="s">
        <v>617</v>
      </c>
      <c r="D3" s="4" t="s">
        <v>618</v>
      </c>
      <c r="E3" s="4" t="s">
        <v>619</v>
      </c>
      <c r="F3" s="4" t="s">
        <v>620</v>
      </c>
      <c r="G3" s="4" t="s">
        <v>621</v>
      </c>
      <c r="H3" s="4" t="s">
        <v>622</v>
      </c>
      <c r="I3" s="4" t="s">
        <v>591</v>
      </c>
      <c r="J3" s="4" t="s">
        <v>60</v>
      </c>
    </row>
    <row r="4" spans="1:10" ht="15.75" customHeight="1" x14ac:dyDescent="0.25">
      <c r="A4" s="2" t="s">
        <v>623</v>
      </c>
      <c r="B4" s="2" t="s">
        <v>624</v>
      </c>
      <c r="C4" s="8" t="s">
        <v>625</v>
      </c>
      <c r="D4" s="2" t="s">
        <v>626</v>
      </c>
      <c r="E4" s="2" t="s">
        <v>627</v>
      </c>
      <c r="F4" s="2" t="s">
        <v>628</v>
      </c>
      <c r="G4" s="2" t="s">
        <v>65</v>
      </c>
      <c r="H4" s="2" t="s">
        <v>86</v>
      </c>
      <c r="I4" s="2" t="s">
        <v>629</v>
      </c>
      <c r="J4" s="2" t="s">
        <v>630</v>
      </c>
    </row>
    <row r="5" spans="1:10" ht="15.75" customHeight="1" x14ac:dyDescent="0.25">
      <c r="A5" s="3" t="s">
        <v>631</v>
      </c>
      <c r="B5" s="3" t="s">
        <v>632</v>
      </c>
      <c r="C5" s="8" t="s">
        <v>625</v>
      </c>
      <c r="D5" s="3" t="s">
        <v>633</v>
      </c>
      <c r="E5" s="3" t="s">
        <v>634</v>
      </c>
      <c r="F5" s="3" t="s">
        <v>635</v>
      </c>
      <c r="G5" s="3" t="s">
        <v>636</v>
      </c>
      <c r="H5" s="3" t="s">
        <v>92</v>
      </c>
      <c r="I5" s="3" t="s">
        <v>629</v>
      </c>
      <c r="J5" s="3" t="s">
        <v>637</v>
      </c>
    </row>
    <row r="6" spans="1:10" ht="15.75" customHeight="1" x14ac:dyDescent="0.25">
      <c r="A6" s="2" t="s">
        <v>638</v>
      </c>
      <c r="B6" s="2" t="s">
        <v>639</v>
      </c>
      <c r="C6" s="8" t="s">
        <v>625</v>
      </c>
      <c r="D6" s="2" t="s">
        <v>640</v>
      </c>
      <c r="E6" s="2" t="s">
        <v>641</v>
      </c>
      <c r="F6" s="2" t="s">
        <v>642</v>
      </c>
      <c r="G6" s="2" t="s">
        <v>643</v>
      </c>
      <c r="H6" s="2" t="s">
        <v>98</v>
      </c>
      <c r="I6" s="2" t="s">
        <v>629</v>
      </c>
      <c r="J6" s="2" t="s">
        <v>644</v>
      </c>
    </row>
    <row r="7" spans="1:10" ht="15.75" customHeight="1" x14ac:dyDescent="0.25">
      <c r="A7" s="3" t="s">
        <v>645</v>
      </c>
      <c r="B7" s="3" t="s">
        <v>646</v>
      </c>
      <c r="C7" s="8" t="s">
        <v>625</v>
      </c>
      <c r="D7" s="3" t="s">
        <v>647</v>
      </c>
      <c r="E7" s="3" t="s">
        <v>648</v>
      </c>
      <c r="F7" s="3" t="s">
        <v>643</v>
      </c>
      <c r="G7" s="3" t="s">
        <v>649</v>
      </c>
      <c r="H7" s="3" t="s">
        <v>103</v>
      </c>
      <c r="I7" s="3" t="s">
        <v>629</v>
      </c>
      <c r="J7" s="3" t="s">
        <v>650</v>
      </c>
    </row>
    <row r="8" spans="1:10" ht="15.75" customHeight="1" x14ac:dyDescent="0.25">
      <c r="A8" s="2" t="s">
        <v>651</v>
      </c>
      <c r="B8" s="2" t="s">
        <v>652</v>
      </c>
      <c r="C8" s="8" t="s">
        <v>625</v>
      </c>
      <c r="D8" s="2" t="s">
        <v>653</v>
      </c>
      <c r="E8" s="2" t="s">
        <v>654</v>
      </c>
      <c r="F8" s="2" t="s">
        <v>655</v>
      </c>
      <c r="G8" s="2" t="s">
        <v>656</v>
      </c>
      <c r="H8" s="2" t="s">
        <v>108</v>
      </c>
      <c r="I8" s="2" t="s">
        <v>629</v>
      </c>
      <c r="J8" s="2" t="s">
        <v>657</v>
      </c>
    </row>
    <row r="9" spans="1:10" ht="15.75" customHeight="1" x14ac:dyDescent="0.25">
      <c r="A9" s="3" t="s">
        <v>658</v>
      </c>
      <c r="B9" s="3" t="s">
        <v>659</v>
      </c>
      <c r="C9" s="8" t="s">
        <v>625</v>
      </c>
      <c r="D9" s="3" t="s">
        <v>660</v>
      </c>
      <c r="E9" s="3" t="s">
        <v>661</v>
      </c>
      <c r="F9" s="3" t="s">
        <v>656</v>
      </c>
      <c r="G9" s="3" t="s">
        <v>662</v>
      </c>
      <c r="H9" s="3" t="s">
        <v>113</v>
      </c>
      <c r="I9" s="3" t="s">
        <v>629</v>
      </c>
      <c r="J9" s="3" t="s">
        <v>663</v>
      </c>
    </row>
    <row r="10" spans="1:10" ht="15.75" customHeight="1" x14ac:dyDescent="0.25">
      <c r="A10" s="2" t="s">
        <v>664</v>
      </c>
      <c r="B10" s="2" t="s">
        <v>665</v>
      </c>
      <c r="C10" s="8" t="s">
        <v>625</v>
      </c>
      <c r="D10" s="2" t="s">
        <v>653</v>
      </c>
      <c r="E10" s="2" t="s">
        <v>666</v>
      </c>
      <c r="F10" s="2" t="s">
        <v>667</v>
      </c>
      <c r="G10" s="2" t="s">
        <v>668</v>
      </c>
      <c r="H10" s="2" t="s">
        <v>118</v>
      </c>
      <c r="I10" s="2" t="s">
        <v>629</v>
      </c>
      <c r="J10" s="2" t="s">
        <v>669</v>
      </c>
    </row>
    <row r="11" spans="1:10" ht="15.75" customHeight="1" x14ac:dyDescent="0.25">
      <c r="A11" s="3" t="s">
        <v>670</v>
      </c>
      <c r="B11" s="3" t="s">
        <v>671</v>
      </c>
      <c r="C11" s="8" t="s">
        <v>625</v>
      </c>
      <c r="D11" s="3" t="s">
        <v>672</v>
      </c>
      <c r="E11" s="3" t="s">
        <v>673</v>
      </c>
      <c r="F11" s="3" t="s">
        <v>674</v>
      </c>
      <c r="G11" s="3" t="s">
        <v>675</v>
      </c>
      <c r="H11" s="3" t="s">
        <v>124</v>
      </c>
      <c r="I11" s="3" t="s">
        <v>629</v>
      </c>
      <c r="J11" s="3" t="s">
        <v>676</v>
      </c>
    </row>
    <row r="12" spans="1:10" ht="15.75" customHeight="1" x14ac:dyDescent="0.25">
      <c r="A12" s="2" t="s">
        <v>677</v>
      </c>
      <c r="B12" s="2" t="s">
        <v>678</v>
      </c>
      <c r="C12" s="10" t="s">
        <v>679</v>
      </c>
      <c r="D12" s="2" t="s">
        <v>680</v>
      </c>
      <c r="E12" s="2" t="s">
        <v>681</v>
      </c>
      <c r="F12" s="2" t="s">
        <v>65</v>
      </c>
      <c r="G12" s="2" t="s">
        <v>65</v>
      </c>
      <c r="H12" s="2" t="s">
        <v>596</v>
      </c>
      <c r="I12" s="2" t="s">
        <v>597</v>
      </c>
      <c r="J12" s="2" t="s">
        <v>682</v>
      </c>
    </row>
    <row r="13" spans="1:10" ht="15.75" customHeight="1" x14ac:dyDescent="0.25">
      <c r="A13" s="3" t="s">
        <v>683</v>
      </c>
      <c r="B13" s="3" t="s">
        <v>684</v>
      </c>
      <c r="C13" s="10" t="s">
        <v>679</v>
      </c>
      <c r="D13" s="3" t="s">
        <v>685</v>
      </c>
      <c r="E13" s="3" t="s">
        <v>686</v>
      </c>
      <c r="F13" s="3" t="s">
        <v>65</v>
      </c>
      <c r="G13" s="3" t="s">
        <v>65</v>
      </c>
      <c r="H13" s="3" t="s">
        <v>603</v>
      </c>
      <c r="I13" s="3" t="s">
        <v>597</v>
      </c>
      <c r="J13" s="3" t="s">
        <v>687</v>
      </c>
    </row>
    <row r="14" spans="1:10" ht="15.75" customHeight="1" x14ac:dyDescent="0.25">
      <c r="A14" s="2" t="s">
        <v>688</v>
      </c>
      <c r="B14" s="2" t="s">
        <v>689</v>
      </c>
      <c r="C14" s="10" t="s">
        <v>679</v>
      </c>
      <c r="D14" s="2" t="s">
        <v>690</v>
      </c>
      <c r="E14" s="2" t="s">
        <v>691</v>
      </c>
      <c r="F14" s="2" t="s">
        <v>65</v>
      </c>
      <c r="G14" s="2" t="s">
        <v>65</v>
      </c>
      <c r="H14" s="2" t="s">
        <v>321</v>
      </c>
      <c r="I14" s="2" t="s">
        <v>611</v>
      </c>
      <c r="J14" s="2" t="s">
        <v>692</v>
      </c>
    </row>
    <row r="15" spans="1:10" ht="15.75" customHeight="1" x14ac:dyDescent="0.25">
      <c r="A15" s="3" t="s">
        <v>693</v>
      </c>
      <c r="B15" s="3" t="s">
        <v>694</v>
      </c>
      <c r="C15" s="6" t="s">
        <v>695</v>
      </c>
      <c r="D15" s="3" t="s">
        <v>696</v>
      </c>
      <c r="E15" s="3" t="s">
        <v>697</v>
      </c>
      <c r="F15" s="3" t="s">
        <v>698</v>
      </c>
      <c r="G15" s="3" t="s">
        <v>65</v>
      </c>
      <c r="H15" s="3" t="s">
        <v>699</v>
      </c>
      <c r="I15" s="3" t="s">
        <v>700</v>
      </c>
      <c r="J15" s="3" t="s">
        <v>701</v>
      </c>
    </row>
    <row r="16" spans="1:10" ht="15.75" customHeight="1" x14ac:dyDescent="0.25">
      <c r="A16" s="2" t="s">
        <v>702</v>
      </c>
      <c r="B16" s="2" t="s">
        <v>703</v>
      </c>
      <c r="C16" s="9" t="s">
        <v>704</v>
      </c>
      <c r="D16" s="2" t="s">
        <v>705</v>
      </c>
      <c r="E16" s="2" t="s">
        <v>706</v>
      </c>
      <c r="F16" s="2" t="s">
        <v>65</v>
      </c>
      <c r="G16" s="2" t="s">
        <v>65</v>
      </c>
      <c r="H16" s="2" t="s">
        <v>65</v>
      </c>
      <c r="I16" s="2" t="s">
        <v>707</v>
      </c>
      <c r="J16" s="2" t="s">
        <v>708</v>
      </c>
    </row>
    <row r="17" spans="1:10" ht="15.75" customHeight="1" x14ac:dyDescent="0.25">
      <c r="A17" s="3" t="s">
        <v>709</v>
      </c>
      <c r="B17" s="3" t="s">
        <v>710</v>
      </c>
      <c r="C17" s="12" t="s">
        <v>711</v>
      </c>
      <c r="D17" s="3" t="s">
        <v>712</v>
      </c>
      <c r="E17" s="3" t="s">
        <v>713</v>
      </c>
      <c r="F17" s="3" t="s">
        <v>65</v>
      </c>
      <c r="G17" s="3" t="s">
        <v>65</v>
      </c>
      <c r="H17" s="3" t="s">
        <v>714</v>
      </c>
      <c r="I17" s="3" t="s">
        <v>715</v>
      </c>
      <c r="J17" s="3" t="s">
        <v>716</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J13"/>
  <sheetViews>
    <sheetView showGridLines="0" zoomScaleNormal="100" workbookViewId="0">
      <pane ySplit="3" topLeftCell="A4" activePane="bottomLeft" state="frozen"/>
      <selection pane="bottomLeft" activeCell="D12" sqref="D12"/>
    </sheetView>
  </sheetViews>
  <sheetFormatPr defaultColWidth="8.7109375" defaultRowHeight="15" x14ac:dyDescent="0.25"/>
  <cols>
    <col min="1" max="1" width="16.5703125" bestFit="1" customWidth="1"/>
    <col min="2" max="2" width="24.28515625" bestFit="1" customWidth="1"/>
    <col min="3" max="3" width="34" bestFit="1" customWidth="1"/>
    <col min="4" max="4" width="73.28515625" bestFit="1" customWidth="1"/>
    <col min="5" max="5" width="23" bestFit="1" customWidth="1"/>
    <col min="6" max="6" width="22.5703125" bestFit="1" customWidth="1"/>
    <col min="7" max="7" width="27.28515625" bestFit="1" customWidth="1"/>
    <col min="8" max="8" width="8.7109375" bestFit="1" customWidth="1"/>
    <col min="9" max="9" width="7.42578125" bestFit="1" customWidth="1"/>
    <col min="10" max="10" width="66.42578125" bestFit="1" customWidth="1"/>
  </cols>
  <sheetData>
    <row r="1" spans="1:10" ht="31.5" customHeight="1" x14ac:dyDescent="0.25">
      <c r="A1" s="31" t="s">
        <v>717</v>
      </c>
      <c r="B1" s="31"/>
      <c r="C1" s="31"/>
      <c r="D1" s="31"/>
      <c r="E1" s="31"/>
      <c r="F1" s="31"/>
      <c r="G1" s="31"/>
      <c r="H1" s="31"/>
      <c r="I1" s="31"/>
      <c r="J1" s="31"/>
    </row>
    <row r="2" spans="1:10" ht="15.75" customHeight="1" x14ac:dyDescent="0.25">
      <c r="A2" s="36" t="s">
        <v>718</v>
      </c>
      <c r="B2" s="36"/>
      <c r="C2" s="36"/>
      <c r="D2" s="36"/>
      <c r="E2" s="36"/>
      <c r="F2" s="36"/>
      <c r="G2" s="36"/>
      <c r="H2" s="36"/>
      <c r="I2" s="36"/>
      <c r="J2" s="36"/>
    </row>
    <row r="3" spans="1:10" ht="15.75" customHeight="1" x14ac:dyDescent="0.25">
      <c r="A3" s="4" t="s">
        <v>719</v>
      </c>
      <c r="B3" s="4" t="s">
        <v>720</v>
      </c>
      <c r="C3" s="4" t="s">
        <v>721</v>
      </c>
      <c r="D3" s="4" t="s">
        <v>722</v>
      </c>
      <c r="E3" s="4" t="s">
        <v>723</v>
      </c>
      <c r="F3" s="4" t="s">
        <v>724</v>
      </c>
      <c r="G3" s="4" t="s">
        <v>725</v>
      </c>
      <c r="H3" s="4" t="s">
        <v>726</v>
      </c>
      <c r="I3" s="4" t="s">
        <v>727</v>
      </c>
      <c r="J3" s="4" t="s">
        <v>60</v>
      </c>
    </row>
    <row r="4" spans="1:10" ht="15.75" customHeight="1" x14ac:dyDescent="0.25">
      <c r="A4" s="2" t="s">
        <v>728</v>
      </c>
      <c r="B4" s="2" t="s">
        <v>729</v>
      </c>
      <c r="C4" s="2" t="s">
        <v>730</v>
      </c>
      <c r="D4" s="2" t="s">
        <v>731</v>
      </c>
      <c r="E4" s="2" t="s">
        <v>371</v>
      </c>
      <c r="F4" s="2" t="s">
        <v>732</v>
      </c>
      <c r="G4" s="2" t="s">
        <v>733</v>
      </c>
      <c r="H4" s="6" t="s">
        <v>734</v>
      </c>
      <c r="I4" s="8" t="s">
        <v>482</v>
      </c>
      <c r="J4" s="2" t="s">
        <v>735</v>
      </c>
    </row>
    <row r="5" spans="1:10" ht="15.75" customHeight="1" x14ac:dyDescent="0.25">
      <c r="A5" s="3" t="s">
        <v>736</v>
      </c>
      <c r="B5" s="3" t="s">
        <v>737</v>
      </c>
      <c r="C5" s="3" t="s">
        <v>738</v>
      </c>
      <c r="D5" s="3" t="s">
        <v>731</v>
      </c>
      <c r="E5" s="3" t="s">
        <v>377</v>
      </c>
      <c r="F5" s="3" t="s">
        <v>739</v>
      </c>
      <c r="G5" s="3" t="s">
        <v>733</v>
      </c>
      <c r="H5" s="6" t="s">
        <v>734</v>
      </c>
      <c r="I5" s="8" t="s">
        <v>482</v>
      </c>
      <c r="J5" s="3" t="s">
        <v>740</v>
      </c>
    </row>
    <row r="6" spans="1:10" ht="15.75" customHeight="1" x14ac:dyDescent="0.25">
      <c r="A6" s="2" t="s">
        <v>741</v>
      </c>
      <c r="B6" s="2" t="s">
        <v>742</v>
      </c>
      <c r="C6" s="2" t="s">
        <v>379</v>
      </c>
      <c r="D6" s="2" t="s">
        <v>731</v>
      </c>
      <c r="E6" s="2" t="s">
        <v>383</v>
      </c>
      <c r="F6" s="2" t="s">
        <v>743</v>
      </c>
      <c r="G6" s="2" t="s">
        <v>733</v>
      </c>
      <c r="H6" s="6" t="s">
        <v>734</v>
      </c>
      <c r="I6" s="8" t="s">
        <v>482</v>
      </c>
      <c r="J6" s="2" t="s">
        <v>744</v>
      </c>
    </row>
    <row r="7" spans="1:10" ht="15.75" customHeight="1" x14ac:dyDescent="0.25">
      <c r="A7" s="3" t="s">
        <v>745</v>
      </c>
      <c r="B7" s="3" t="s">
        <v>746</v>
      </c>
      <c r="C7" s="3" t="s">
        <v>385</v>
      </c>
      <c r="D7" s="3" t="s">
        <v>731</v>
      </c>
      <c r="E7" s="3" t="s">
        <v>389</v>
      </c>
      <c r="F7" s="3" t="s">
        <v>747</v>
      </c>
      <c r="G7" s="3" t="s">
        <v>733</v>
      </c>
      <c r="H7" s="6" t="s">
        <v>734</v>
      </c>
      <c r="I7" s="8" t="s">
        <v>482</v>
      </c>
      <c r="J7" s="3" t="s">
        <v>748</v>
      </c>
    </row>
    <row r="8" spans="1:10" ht="15.75" customHeight="1" x14ac:dyDescent="0.25">
      <c r="A8" s="2" t="s">
        <v>749</v>
      </c>
      <c r="B8" s="2" t="s">
        <v>750</v>
      </c>
      <c r="C8" s="2" t="s">
        <v>751</v>
      </c>
      <c r="D8" s="2" t="s">
        <v>731</v>
      </c>
      <c r="E8" s="2" t="s">
        <v>402</v>
      </c>
      <c r="F8" s="2" t="s">
        <v>743</v>
      </c>
      <c r="G8" s="2" t="s">
        <v>752</v>
      </c>
      <c r="H8" s="6" t="s">
        <v>734</v>
      </c>
      <c r="I8" s="8" t="s">
        <v>482</v>
      </c>
      <c r="J8" s="2" t="s">
        <v>753</v>
      </c>
    </row>
    <row r="9" spans="1:10" ht="15.75" customHeight="1" x14ac:dyDescent="0.25">
      <c r="A9" s="20" t="s">
        <v>754</v>
      </c>
      <c r="B9" s="3" t="s">
        <v>755</v>
      </c>
      <c r="C9" s="3" t="s">
        <v>756</v>
      </c>
      <c r="D9" s="3" t="s">
        <v>757</v>
      </c>
      <c r="E9" s="3" t="s">
        <v>402</v>
      </c>
      <c r="F9" s="3" t="s">
        <v>747</v>
      </c>
      <c r="G9" s="3" t="s">
        <v>752</v>
      </c>
      <c r="H9" s="6" t="s">
        <v>734</v>
      </c>
      <c r="I9" s="8" t="s">
        <v>482</v>
      </c>
      <c r="J9" s="3" t="s">
        <v>758</v>
      </c>
    </row>
    <row r="10" spans="1:10" ht="15.75" customHeight="1" x14ac:dyDescent="0.25">
      <c r="A10" s="2" t="s">
        <v>759</v>
      </c>
      <c r="B10" s="2" t="s">
        <v>678</v>
      </c>
      <c r="C10" s="2" t="s">
        <v>760</v>
      </c>
      <c r="D10" s="2" t="s">
        <v>677</v>
      </c>
      <c r="E10" s="2" t="s">
        <v>65</v>
      </c>
      <c r="F10" s="2" t="s">
        <v>65</v>
      </c>
      <c r="G10" s="2" t="s">
        <v>67</v>
      </c>
      <c r="H10" s="6" t="s">
        <v>734</v>
      </c>
      <c r="I10" s="8" t="s">
        <v>482</v>
      </c>
      <c r="J10" s="2" t="s">
        <v>761</v>
      </c>
    </row>
    <row r="11" spans="1:10" ht="15.75" customHeight="1" x14ac:dyDescent="0.25">
      <c r="A11" s="3" t="s">
        <v>762</v>
      </c>
      <c r="B11" s="3" t="s">
        <v>684</v>
      </c>
      <c r="C11" s="3" t="s">
        <v>763</v>
      </c>
      <c r="D11" s="3" t="s">
        <v>683</v>
      </c>
      <c r="E11" s="3" t="s">
        <v>65</v>
      </c>
      <c r="F11" s="3" t="s">
        <v>65</v>
      </c>
      <c r="G11" s="3" t="s">
        <v>67</v>
      </c>
      <c r="H11" s="6" t="s">
        <v>734</v>
      </c>
      <c r="I11" s="8" t="s">
        <v>482</v>
      </c>
      <c r="J11" s="3" t="s">
        <v>764</v>
      </c>
    </row>
    <row r="12" spans="1:10" ht="15.75" customHeight="1" x14ac:dyDescent="0.25">
      <c r="A12" s="2" t="s">
        <v>765</v>
      </c>
      <c r="B12" s="2" t="s">
        <v>766</v>
      </c>
      <c r="C12" s="2" t="s">
        <v>767</v>
      </c>
      <c r="D12" s="2" t="s">
        <v>768</v>
      </c>
      <c r="E12" s="2" t="s">
        <v>65</v>
      </c>
      <c r="F12" s="2" t="s">
        <v>65</v>
      </c>
      <c r="G12" s="2" t="s">
        <v>769</v>
      </c>
      <c r="H12" s="6" t="s">
        <v>734</v>
      </c>
      <c r="I12" s="8" t="s">
        <v>482</v>
      </c>
      <c r="J12" s="2" t="s">
        <v>770</v>
      </c>
    </row>
    <row r="13" spans="1:10" ht="15.75" customHeight="1" x14ac:dyDescent="0.25">
      <c r="A13" s="3" t="s">
        <v>771</v>
      </c>
      <c r="B13" s="3" t="s">
        <v>772</v>
      </c>
      <c r="C13" s="3" t="s">
        <v>773</v>
      </c>
      <c r="D13" s="3" t="s">
        <v>693</v>
      </c>
      <c r="E13" s="3" t="s">
        <v>65</v>
      </c>
      <c r="F13" s="3" t="s">
        <v>65</v>
      </c>
      <c r="G13" s="3" t="s">
        <v>774</v>
      </c>
      <c r="H13" s="6" t="s">
        <v>734</v>
      </c>
      <c r="I13" s="8" t="s">
        <v>482</v>
      </c>
      <c r="J13" s="3" t="s">
        <v>775</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P27"/>
  <sheetViews>
    <sheetView showGridLines="0" zoomScaleNormal="100" workbookViewId="0">
      <pane ySplit="3" topLeftCell="A4" activePane="bottomLeft" state="frozen"/>
      <selection pane="bottomLeft" sqref="A1:P1"/>
    </sheetView>
  </sheetViews>
  <sheetFormatPr defaultColWidth="8.7109375" defaultRowHeight="15" x14ac:dyDescent="0.25"/>
  <cols>
    <col min="1" max="1" width="10" customWidth="1"/>
    <col min="2" max="2" width="6" customWidth="1"/>
    <col min="3" max="4" width="8" customWidth="1"/>
    <col min="5" max="5" width="14" customWidth="1"/>
    <col min="6" max="6" width="18" customWidth="1"/>
    <col min="7" max="7" width="10" customWidth="1"/>
    <col min="8" max="9" width="22" customWidth="1"/>
    <col min="10" max="10" width="16" customWidth="1"/>
    <col min="11" max="11" width="28" customWidth="1"/>
    <col min="12" max="13" width="8" customWidth="1"/>
    <col min="14" max="14" width="10" customWidth="1"/>
    <col min="15" max="15" width="48" customWidth="1"/>
    <col min="16" max="16" width="14" customWidth="1"/>
  </cols>
  <sheetData>
    <row r="1" spans="1:16" ht="31.5" customHeight="1" x14ac:dyDescent="0.25">
      <c r="A1" s="31" t="s">
        <v>776</v>
      </c>
      <c r="B1" s="31"/>
      <c r="C1" s="31"/>
      <c r="D1" s="31"/>
      <c r="E1" s="31"/>
      <c r="F1" s="31"/>
      <c r="G1" s="31"/>
      <c r="H1" s="31"/>
      <c r="I1" s="31"/>
      <c r="J1" s="31"/>
      <c r="K1" s="31"/>
      <c r="L1" s="31"/>
      <c r="M1" s="31"/>
      <c r="N1" s="31"/>
      <c r="O1" s="31"/>
      <c r="P1" s="31"/>
    </row>
    <row r="2" spans="1:16" ht="15.75" customHeight="1" x14ac:dyDescent="0.25">
      <c r="A2" s="36" t="s">
        <v>777</v>
      </c>
      <c r="B2" s="36"/>
      <c r="C2" s="36"/>
      <c r="D2" s="36"/>
      <c r="E2" s="36"/>
      <c r="F2" s="36"/>
      <c r="G2" s="36"/>
      <c r="H2" s="36"/>
      <c r="I2" s="36"/>
      <c r="J2" s="36"/>
      <c r="K2" s="36"/>
      <c r="L2" s="36"/>
      <c r="M2" s="36"/>
      <c r="N2" s="36"/>
      <c r="O2" s="36"/>
      <c r="P2" s="36"/>
    </row>
    <row r="3" spans="1:16" ht="15.75" customHeight="1" x14ac:dyDescent="0.25">
      <c r="A3" s="1" t="s">
        <v>778</v>
      </c>
      <c r="B3" s="1" t="s">
        <v>779</v>
      </c>
      <c r="C3" s="1" t="s">
        <v>780</v>
      </c>
      <c r="D3" s="1" t="s">
        <v>37</v>
      </c>
      <c r="E3" s="1" t="s">
        <v>352</v>
      </c>
      <c r="F3" s="1" t="s">
        <v>353</v>
      </c>
      <c r="G3" s="1" t="s">
        <v>781</v>
      </c>
      <c r="H3" s="1" t="s">
        <v>782</v>
      </c>
      <c r="I3" s="1" t="s">
        <v>783</v>
      </c>
      <c r="J3" s="1" t="s">
        <v>784</v>
      </c>
      <c r="K3" s="1" t="s">
        <v>785</v>
      </c>
      <c r="L3" s="1" t="s">
        <v>590</v>
      </c>
      <c r="M3" s="1" t="s">
        <v>786</v>
      </c>
      <c r="N3" s="1" t="s">
        <v>787</v>
      </c>
      <c r="O3" s="1" t="s">
        <v>60</v>
      </c>
      <c r="P3" s="1" t="s">
        <v>788</v>
      </c>
    </row>
    <row r="4" spans="1:16" ht="15.75" customHeight="1" x14ac:dyDescent="0.25">
      <c r="A4" s="2" t="s">
        <v>789</v>
      </c>
      <c r="B4" s="2" t="s">
        <v>790</v>
      </c>
      <c r="C4" s="2" t="s">
        <v>791</v>
      </c>
      <c r="D4" s="2" t="s">
        <v>736</v>
      </c>
      <c r="E4" s="2" t="s">
        <v>373</v>
      </c>
      <c r="F4" s="2" t="s">
        <v>571</v>
      </c>
      <c r="G4" s="2" t="s">
        <v>792</v>
      </c>
      <c r="H4" s="2" t="s">
        <v>793</v>
      </c>
      <c r="I4" s="2" t="s">
        <v>794</v>
      </c>
      <c r="J4" s="2" t="s">
        <v>795</v>
      </c>
      <c r="K4" s="2" t="s">
        <v>796</v>
      </c>
      <c r="L4" s="21" t="s">
        <v>67</v>
      </c>
      <c r="M4" s="2" t="s">
        <v>797</v>
      </c>
      <c r="N4" s="7" t="s">
        <v>538</v>
      </c>
      <c r="O4" s="2" t="s">
        <v>798</v>
      </c>
      <c r="P4" s="2"/>
    </row>
    <row r="5" spans="1:16" ht="15.75" customHeight="1" x14ac:dyDescent="0.25">
      <c r="A5" s="3" t="s">
        <v>799</v>
      </c>
      <c r="B5" s="3" t="s">
        <v>790</v>
      </c>
      <c r="C5" s="3" t="s">
        <v>791</v>
      </c>
      <c r="D5" s="3" t="s">
        <v>728</v>
      </c>
      <c r="E5" s="3" t="s">
        <v>363</v>
      </c>
      <c r="F5" s="3" t="s">
        <v>568</v>
      </c>
      <c r="G5" s="3" t="s">
        <v>800</v>
      </c>
      <c r="H5" s="3" t="s">
        <v>794</v>
      </c>
      <c r="I5" s="3" t="s">
        <v>801</v>
      </c>
      <c r="J5" s="3" t="s">
        <v>802</v>
      </c>
      <c r="K5" s="3" t="s">
        <v>803</v>
      </c>
      <c r="L5" s="22" t="s">
        <v>67</v>
      </c>
      <c r="M5" s="3" t="s">
        <v>804</v>
      </c>
      <c r="N5" s="7" t="s">
        <v>538</v>
      </c>
      <c r="O5" s="3" t="s">
        <v>805</v>
      </c>
      <c r="P5" s="3"/>
    </row>
    <row r="6" spans="1:16" ht="15.75" customHeight="1" x14ac:dyDescent="0.25">
      <c r="A6" s="2" t="s">
        <v>806</v>
      </c>
      <c r="B6" s="2" t="s">
        <v>790</v>
      </c>
      <c r="C6" s="2" t="s">
        <v>791</v>
      </c>
      <c r="D6" s="2" t="s">
        <v>741</v>
      </c>
      <c r="E6" s="2" t="s">
        <v>379</v>
      </c>
      <c r="F6" s="2" t="s">
        <v>572</v>
      </c>
      <c r="G6" s="2" t="s">
        <v>807</v>
      </c>
      <c r="H6" s="2" t="s">
        <v>801</v>
      </c>
      <c r="I6" s="2" t="s">
        <v>808</v>
      </c>
      <c r="J6" s="2" t="s">
        <v>809</v>
      </c>
      <c r="K6" s="2" t="s">
        <v>810</v>
      </c>
      <c r="L6" s="21" t="s">
        <v>67</v>
      </c>
      <c r="M6" s="2" t="s">
        <v>811</v>
      </c>
      <c r="N6" s="7" t="s">
        <v>538</v>
      </c>
      <c r="O6" s="2" t="s">
        <v>812</v>
      </c>
      <c r="P6" s="2"/>
    </row>
    <row r="7" spans="1:16" ht="15.75" customHeight="1" x14ac:dyDescent="0.25">
      <c r="A7" s="23" t="s">
        <v>813</v>
      </c>
      <c r="B7" s="23" t="s">
        <v>790</v>
      </c>
      <c r="C7" s="23" t="s">
        <v>791</v>
      </c>
      <c r="D7" s="23" t="s">
        <v>771</v>
      </c>
      <c r="E7" s="23" t="s">
        <v>65</v>
      </c>
      <c r="F7" s="23" t="s">
        <v>694</v>
      </c>
      <c r="G7" s="23" t="s">
        <v>65</v>
      </c>
      <c r="H7" s="23" t="s">
        <v>808</v>
      </c>
      <c r="I7" s="23" t="s">
        <v>814</v>
      </c>
      <c r="J7" s="23" t="s">
        <v>815</v>
      </c>
      <c r="K7" s="23" t="s">
        <v>816</v>
      </c>
      <c r="L7" s="6" t="s">
        <v>461</v>
      </c>
      <c r="M7" s="23" t="s">
        <v>65</v>
      </c>
      <c r="N7" s="7" t="s">
        <v>538</v>
      </c>
      <c r="O7" s="23" t="s">
        <v>817</v>
      </c>
      <c r="P7" s="23"/>
    </row>
    <row r="8" spans="1:16" ht="15.75" customHeight="1" x14ac:dyDescent="0.25">
      <c r="A8" s="2" t="s">
        <v>818</v>
      </c>
      <c r="B8" s="2" t="s">
        <v>790</v>
      </c>
      <c r="C8" s="2" t="s">
        <v>819</v>
      </c>
      <c r="D8" s="2" t="s">
        <v>749</v>
      </c>
      <c r="E8" s="2" t="s">
        <v>398</v>
      </c>
      <c r="F8" s="2" t="s">
        <v>576</v>
      </c>
      <c r="G8" s="2" t="s">
        <v>820</v>
      </c>
      <c r="H8" s="2" t="s">
        <v>814</v>
      </c>
      <c r="I8" s="2" t="s">
        <v>821</v>
      </c>
      <c r="J8" s="2" t="s">
        <v>822</v>
      </c>
      <c r="K8" s="2" t="s">
        <v>823</v>
      </c>
      <c r="L8" s="21" t="s">
        <v>67</v>
      </c>
      <c r="M8" s="2" t="s">
        <v>824</v>
      </c>
      <c r="N8" s="7" t="s">
        <v>538</v>
      </c>
      <c r="O8" s="2" t="s">
        <v>825</v>
      </c>
      <c r="P8" s="2"/>
    </row>
    <row r="9" spans="1:16" ht="15.75" customHeight="1" x14ac:dyDescent="0.25">
      <c r="A9" s="24" t="s">
        <v>826</v>
      </c>
      <c r="B9" s="24" t="s">
        <v>790</v>
      </c>
      <c r="C9" s="24" t="s">
        <v>819</v>
      </c>
      <c r="D9" s="24" t="s">
        <v>754</v>
      </c>
      <c r="E9" s="24" t="s">
        <v>408</v>
      </c>
      <c r="F9" s="24" t="s">
        <v>409</v>
      </c>
      <c r="G9" s="24" t="s">
        <v>827</v>
      </c>
      <c r="H9" s="24" t="s">
        <v>821</v>
      </c>
      <c r="I9" s="24" t="s">
        <v>828</v>
      </c>
      <c r="J9" s="24" t="s">
        <v>802</v>
      </c>
      <c r="K9" s="24" t="s">
        <v>818</v>
      </c>
      <c r="L9" s="25" t="s">
        <v>67</v>
      </c>
      <c r="M9" s="24" t="s">
        <v>829</v>
      </c>
      <c r="N9" s="7" t="s">
        <v>538</v>
      </c>
      <c r="O9" s="24" t="s">
        <v>830</v>
      </c>
      <c r="P9" s="24"/>
    </row>
    <row r="10" spans="1:16" ht="15.75" customHeight="1" x14ac:dyDescent="0.25">
      <c r="A10" s="26" t="s">
        <v>831</v>
      </c>
      <c r="B10" s="26" t="s">
        <v>790</v>
      </c>
      <c r="C10" s="26" t="s">
        <v>819</v>
      </c>
      <c r="D10" s="26" t="s">
        <v>65</v>
      </c>
      <c r="E10" s="26" t="s">
        <v>65</v>
      </c>
      <c r="F10" s="26" t="s">
        <v>832</v>
      </c>
      <c r="G10" s="26" t="s">
        <v>65</v>
      </c>
      <c r="H10" s="26" t="s">
        <v>828</v>
      </c>
      <c r="I10" s="26" t="s">
        <v>833</v>
      </c>
      <c r="J10" s="26" t="s">
        <v>389</v>
      </c>
      <c r="K10" s="26" t="s">
        <v>834</v>
      </c>
      <c r="L10" s="27" t="s">
        <v>67</v>
      </c>
      <c r="M10" s="26" t="s">
        <v>65</v>
      </c>
      <c r="N10" s="7" t="s">
        <v>538</v>
      </c>
      <c r="O10" s="26" t="s">
        <v>835</v>
      </c>
      <c r="P10" s="26"/>
    </row>
    <row r="11" spans="1:16" ht="15.75" customHeight="1" x14ac:dyDescent="0.25">
      <c r="A11" s="3" t="s">
        <v>836</v>
      </c>
      <c r="B11" s="3" t="s">
        <v>790</v>
      </c>
      <c r="C11" s="3" t="s">
        <v>819</v>
      </c>
      <c r="D11" s="3" t="s">
        <v>749</v>
      </c>
      <c r="E11" s="3" t="s">
        <v>404</v>
      </c>
      <c r="F11" s="3" t="s">
        <v>578</v>
      </c>
      <c r="G11" s="3" t="s">
        <v>837</v>
      </c>
      <c r="H11" s="3" t="s">
        <v>833</v>
      </c>
      <c r="I11" s="3" t="s">
        <v>838</v>
      </c>
      <c r="J11" s="3" t="s">
        <v>839</v>
      </c>
      <c r="K11" s="3" t="s">
        <v>840</v>
      </c>
      <c r="L11" s="22" t="s">
        <v>67</v>
      </c>
      <c r="M11" s="3" t="s">
        <v>841</v>
      </c>
      <c r="N11" s="7" t="s">
        <v>538</v>
      </c>
      <c r="O11" s="3" t="s">
        <v>842</v>
      </c>
      <c r="P11" s="3"/>
    </row>
    <row r="12" spans="1:16" ht="15.75" customHeight="1" x14ac:dyDescent="0.25">
      <c r="A12" s="2" t="s">
        <v>843</v>
      </c>
      <c r="B12" s="2" t="s">
        <v>844</v>
      </c>
      <c r="C12" s="2" t="s">
        <v>791</v>
      </c>
      <c r="D12" s="2" t="s">
        <v>736</v>
      </c>
      <c r="E12" s="2" t="s">
        <v>373</v>
      </c>
      <c r="F12" s="2" t="s">
        <v>571</v>
      </c>
      <c r="G12" s="2" t="s">
        <v>487</v>
      </c>
      <c r="H12" s="2" t="s">
        <v>845</v>
      </c>
      <c r="I12" s="2" t="s">
        <v>846</v>
      </c>
      <c r="J12" s="2" t="s">
        <v>366</v>
      </c>
      <c r="K12" s="2" t="s">
        <v>847</v>
      </c>
      <c r="L12" s="21" t="s">
        <v>67</v>
      </c>
      <c r="M12" s="2" t="s">
        <v>848</v>
      </c>
      <c r="N12" s="7" t="s">
        <v>538</v>
      </c>
      <c r="O12" s="2" t="s">
        <v>849</v>
      </c>
      <c r="P12" s="2"/>
    </row>
    <row r="13" spans="1:16" ht="15.75" customHeight="1" x14ac:dyDescent="0.25">
      <c r="A13" s="3" t="s">
        <v>850</v>
      </c>
      <c r="B13" s="3" t="s">
        <v>844</v>
      </c>
      <c r="C13" s="3" t="s">
        <v>791</v>
      </c>
      <c r="D13" s="3" t="s">
        <v>736</v>
      </c>
      <c r="E13" s="3" t="s">
        <v>373</v>
      </c>
      <c r="F13" s="3" t="s">
        <v>571</v>
      </c>
      <c r="G13" s="3" t="s">
        <v>792</v>
      </c>
      <c r="H13" s="3" t="s">
        <v>846</v>
      </c>
      <c r="I13" s="3" t="s">
        <v>851</v>
      </c>
      <c r="J13" s="3" t="s">
        <v>795</v>
      </c>
      <c r="K13" s="3" t="s">
        <v>843</v>
      </c>
      <c r="L13" s="22" t="s">
        <v>67</v>
      </c>
      <c r="M13" s="3" t="s">
        <v>852</v>
      </c>
      <c r="N13" s="7" t="s">
        <v>538</v>
      </c>
      <c r="O13" s="3" t="s">
        <v>853</v>
      </c>
      <c r="P13" s="3"/>
    </row>
    <row r="14" spans="1:16" ht="15.75" customHeight="1" x14ac:dyDescent="0.25">
      <c r="A14" s="2" t="s">
        <v>854</v>
      </c>
      <c r="B14" s="2" t="s">
        <v>844</v>
      </c>
      <c r="C14" s="2" t="s">
        <v>791</v>
      </c>
      <c r="D14" s="2" t="s">
        <v>745</v>
      </c>
      <c r="E14" s="2" t="s">
        <v>385</v>
      </c>
      <c r="F14" s="2" t="s">
        <v>574</v>
      </c>
      <c r="G14" s="2" t="s">
        <v>855</v>
      </c>
      <c r="H14" s="2" t="s">
        <v>851</v>
      </c>
      <c r="I14" s="2" t="s">
        <v>856</v>
      </c>
      <c r="J14" s="2" t="s">
        <v>377</v>
      </c>
      <c r="K14" s="2" t="s">
        <v>857</v>
      </c>
      <c r="L14" s="21" t="s">
        <v>67</v>
      </c>
      <c r="M14" s="2" t="s">
        <v>858</v>
      </c>
      <c r="N14" s="7" t="s">
        <v>538</v>
      </c>
      <c r="O14" s="2" t="s">
        <v>859</v>
      </c>
      <c r="P14" s="2"/>
    </row>
    <row r="15" spans="1:16" ht="15.75" customHeight="1" x14ac:dyDescent="0.25">
      <c r="A15" s="23" t="s">
        <v>860</v>
      </c>
      <c r="B15" s="23" t="s">
        <v>844</v>
      </c>
      <c r="C15" s="23" t="s">
        <v>791</v>
      </c>
      <c r="D15" s="23" t="s">
        <v>771</v>
      </c>
      <c r="E15" s="23" t="s">
        <v>65</v>
      </c>
      <c r="F15" s="23" t="s">
        <v>694</v>
      </c>
      <c r="G15" s="23" t="s">
        <v>65</v>
      </c>
      <c r="H15" s="23" t="s">
        <v>856</v>
      </c>
      <c r="I15" s="23" t="s">
        <v>861</v>
      </c>
      <c r="J15" s="23" t="s">
        <v>815</v>
      </c>
      <c r="K15" s="23" t="s">
        <v>862</v>
      </c>
      <c r="L15" s="6" t="s">
        <v>461</v>
      </c>
      <c r="M15" s="23" t="s">
        <v>65</v>
      </c>
      <c r="N15" s="7" t="s">
        <v>538</v>
      </c>
      <c r="O15" s="23" t="s">
        <v>700</v>
      </c>
      <c r="P15" s="23"/>
    </row>
    <row r="16" spans="1:16" ht="15.75" customHeight="1" x14ac:dyDescent="0.25">
      <c r="A16" s="24" t="s">
        <v>863</v>
      </c>
      <c r="B16" s="24" t="s">
        <v>844</v>
      </c>
      <c r="C16" s="24" t="s">
        <v>819</v>
      </c>
      <c r="D16" s="24" t="s">
        <v>754</v>
      </c>
      <c r="E16" s="24" t="s">
        <v>414</v>
      </c>
      <c r="F16" s="24" t="s">
        <v>582</v>
      </c>
      <c r="G16" s="24" t="s">
        <v>381</v>
      </c>
      <c r="H16" s="24" t="s">
        <v>861</v>
      </c>
      <c r="I16" s="24" t="s">
        <v>864</v>
      </c>
      <c r="J16" s="24" t="s">
        <v>865</v>
      </c>
      <c r="K16" s="24" t="s">
        <v>866</v>
      </c>
      <c r="L16" s="25" t="s">
        <v>67</v>
      </c>
      <c r="M16" s="24" t="s">
        <v>867</v>
      </c>
      <c r="N16" s="7" t="s">
        <v>538</v>
      </c>
      <c r="O16" s="24" t="s">
        <v>868</v>
      </c>
      <c r="P16" s="24"/>
    </row>
    <row r="17" spans="1:16" ht="15.75" customHeight="1" x14ac:dyDescent="0.25">
      <c r="A17" s="3" t="s">
        <v>869</v>
      </c>
      <c r="B17" s="3" t="s">
        <v>844</v>
      </c>
      <c r="C17" s="3" t="s">
        <v>819</v>
      </c>
      <c r="D17" s="3" t="s">
        <v>736</v>
      </c>
      <c r="E17" s="3" t="s">
        <v>373</v>
      </c>
      <c r="F17" s="3" t="s">
        <v>571</v>
      </c>
      <c r="G17" s="3" t="s">
        <v>870</v>
      </c>
      <c r="H17" s="3" t="s">
        <v>864</v>
      </c>
      <c r="I17" s="3" t="s">
        <v>871</v>
      </c>
      <c r="J17" s="3" t="s">
        <v>872</v>
      </c>
      <c r="K17" s="3" t="s">
        <v>873</v>
      </c>
      <c r="L17" s="22" t="s">
        <v>67</v>
      </c>
      <c r="M17" s="3" t="s">
        <v>874</v>
      </c>
      <c r="N17" s="7" t="s">
        <v>538</v>
      </c>
      <c r="O17" s="3" t="s">
        <v>875</v>
      </c>
      <c r="P17" s="3"/>
    </row>
    <row r="18" spans="1:16" ht="15.75" customHeight="1" x14ac:dyDescent="0.25">
      <c r="A18" s="2" t="s">
        <v>876</v>
      </c>
      <c r="B18" s="2" t="s">
        <v>877</v>
      </c>
      <c r="C18" s="2" t="s">
        <v>791</v>
      </c>
      <c r="D18" s="2" t="s">
        <v>728</v>
      </c>
      <c r="E18" s="2" t="s">
        <v>363</v>
      </c>
      <c r="F18" s="2" t="s">
        <v>568</v>
      </c>
      <c r="G18" s="2" t="s">
        <v>487</v>
      </c>
      <c r="H18" s="2" t="s">
        <v>878</v>
      </c>
      <c r="I18" s="2" t="s">
        <v>879</v>
      </c>
      <c r="J18" s="2" t="s">
        <v>880</v>
      </c>
      <c r="K18" s="2" t="s">
        <v>881</v>
      </c>
      <c r="L18" s="21" t="s">
        <v>67</v>
      </c>
      <c r="M18" s="2" t="s">
        <v>882</v>
      </c>
      <c r="N18" s="7" t="s">
        <v>538</v>
      </c>
      <c r="O18" s="2" t="s">
        <v>883</v>
      </c>
      <c r="P18" s="2"/>
    </row>
    <row r="19" spans="1:16" ht="15.75" customHeight="1" x14ac:dyDescent="0.25">
      <c r="A19" s="3" t="s">
        <v>884</v>
      </c>
      <c r="B19" s="3" t="s">
        <v>877</v>
      </c>
      <c r="C19" s="3" t="s">
        <v>791</v>
      </c>
      <c r="D19" s="3" t="s">
        <v>741</v>
      </c>
      <c r="E19" s="3" t="s">
        <v>379</v>
      </c>
      <c r="F19" s="3" t="s">
        <v>572</v>
      </c>
      <c r="G19" s="3" t="s">
        <v>885</v>
      </c>
      <c r="H19" s="3" t="s">
        <v>879</v>
      </c>
      <c r="I19" s="3" t="s">
        <v>886</v>
      </c>
      <c r="J19" s="3" t="s">
        <v>865</v>
      </c>
      <c r="K19" s="3" t="s">
        <v>887</v>
      </c>
      <c r="L19" s="22" t="s">
        <v>67</v>
      </c>
      <c r="M19" s="3" t="s">
        <v>888</v>
      </c>
      <c r="N19" s="7" t="s">
        <v>538</v>
      </c>
      <c r="O19" s="3" t="s">
        <v>889</v>
      </c>
      <c r="P19" s="3"/>
    </row>
    <row r="20" spans="1:16" ht="15.75" customHeight="1" x14ac:dyDescent="0.25">
      <c r="A20" s="2" t="s">
        <v>890</v>
      </c>
      <c r="B20" s="2" t="s">
        <v>877</v>
      </c>
      <c r="C20" s="2" t="s">
        <v>791</v>
      </c>
      <c r="D20" s="2" t="s">
        <v>736</v>
      </c>
      <c r="E20" s="2" t="s">
        <v>373</v>
      </c>
      <c r="F20" s="2" t="s">
        <v>571</v>
      </c>
      <c r="G20" s="2" t="s">
        <v>891</v>
      </c>
      <c r="H20" s="2" t="s">
        <v>886</v>
      </c>
      <c r="I20" s="2" t="s">
        <v>892</v>
      </c>
      <c r="J20" s="2" t="s">
        <v>809</v>
      </c>
      <c r="K20" s="2" t="s">
        <v>893</v>
      </c>
      <c r="L20" s="6" t="s">
        <v>461</v>
      </c>
      <c r="M20" s="2" t="s">
        <v>894</v>
      </c>
      <c r="N20" s="7" t="s">
        <v>538</v>
      </c>
      <c r="O20" s="2" t="s">
        <v>895</v>
      </c>
      <c r="P20" s="2"/>
    </row>
    <row r="21" spans="1:16" ht="15.75" customHeight="1" x14ac:dyDescent="0.25">
      <c r="A21" s="23" t="s">
        <v>896</v>
      </c>
      <c r="B21" s="23" t="s">
        <v>877</v>
      </c>
      <c r="C21" s="23" t="s">
        <v>791</v>
      </c>
      <c r="D21" s="23" t="s">
        <v>771</v>
      </c>
      <c r="E21" s="23" t="s">
        <v>65</v>
      </c>
      <c r="F21" s="23" t="s">
        <v>694</v>
      </c>
      <c r="G21" s="23" t="s">
        <v>65</v>
      </c>
      <c r="H21" s="23" t="s">
        <v>892</v>
      </c>
      <c r="I21" s="23" t="s">
        <v>897</v>
      </c>
      <c r="J21" s="23" t="s">
        <v>815</v>
      </c>
      <c r="K21" s="23" t="s">
        <v>890</v>
      </c>
      <c r="L21" s="6" t="s">
        <v>461</v>
      </c>
      <c r="M21" s="23" t="s">
        <v>65</v>
      </c>
      <c r="N21" s="7" t="s">
        <v>538</v>
      </c>
      <c r="O21" s="23" t="s">
        <v>700</v>
      </c>
      <c r="P21" s="23"/>
    </row>
    <row r="22" spans="1:16" ht="15.75" customHeight="1" x14ac:dyDescent="0.25">
      <c r="A22" s="2" t="s">
        <v>898</v>
      </c>
      <c r="B22" s="2" t="s">
        <v>877</v>
      </c>
      <c r="C22" s="2" t="s">
        <v>819</v>
      </c>
      <c r="D22" s="2" t="s">
        <v>749</v>
      </c>
      <c r="E22" s="2" t="s">
        <v>398</v>
      </c>
      <c r="F22" s="2" t="s">
        <v>576</v>
      </c>
      <c r="G22" s="2" t="s">
        <v>792</v>
      </c>
      <c r="H22" s="2" t="s">
        <v>897</v>
      </c>
      <c r="I22" s="2" t="s">
        <v>899</v>
      </c>
      <c r="J22" s="2" t="s">
        <v>900</v>
      </c>
      <c r="K22" s="2" t="s">
        <v>901</v>
      </c>
      <c r="L22" s="21" t="s">
        <v>67</v>
      </c>
      <c r="M22" s="2" t="s">
        <v>902</v>
      </c>
      <c r="N22" s="7" t="s">
        <v>538</v>
      </c>
      <c r="O22" s="2" t="s">
        <v>903</v>
      </c>
      <c r="P22" s="2"/>
    </row>
    <row r="23" spans="1:16" ht="15.75" customHeight="1" x14ac:dyDescent="0.25">
      <c r="A23" s="3" t="s">
        <v>904</v>
      </c>
      <c r="B23" s="3" t="s">
        <v>877</v>
      </c>
      <c r="C23" s="3" t="s">
        <v>819</v>
      </c>
      <c r="D23" s="3" t="s">
        <v>736</v>
      </c>
      <c r="E23" s="3" t="s">
        <v>373</v>
      </c>
      <c r="F23" s="3" t="s">
        <v>571</v>
      </c>
      <c r="G23" s="3" t="s">
        <v>800</v>
      </c>
      <c r="H23" s="3" t="s">
        <v>905</v>
      </c>
      <c r="I23" s="3" t="s">
        <v>906</v>
      </c>
      <c r="J23" s="3" t="s">
        <v>371</v>
      </c>
      <c r="K23" s="3" t="s">
        <v>907</v>
      </c>
      <c r="L23" s="22" t="s">
        <v>67</v>
      </c>
      <c r="M23" s="3" t="s">
        <v>908</v>
      </c>
      <c r="N23" s="7" t="s">
        <v>538</v>
      </c>
      <c r="O23" s="3" t="s">
        <v>909</v>
      </c>
      <c r="P23" s="3"/>
    </row>
    <row r="24" spans="1:16" ht="15.75" customHeight="1" x14ac:dyDescent="0.25">
      <c r="A24" s="2" t="s">
        <v>910</v>
      </c>
      <c r="B24" s="2" t="s">
        <v>911</v>
      </c>
      <c r="C24" s="2" t="s">
        <v>791</v>
      </c>
      <c r="D24" s="2" t="s">
        <v>736</v>
      </c>
      <c r="E24" s="2" t="s">
        <v>373</v>
      </c>
      <c r="F24" s="2" t="s">
        <v>571</v>
      </c>
      <c r="G24" s="2" t="s">
        <v>487</v>
      </c>
      <c r="H24" s="2" t="s">
        <v>912</v>
      </c>
      <c r="I24" s="2" t="s">
        <v>913</v>
      </c>
      <c r="J24" s="2" t="s">
        <v>914</v>
      </c>
      <c r="K24" s="2" t="s">
        <v>796</v>
      </c>
      <c r="L24" s="21" t="s">
        <v>67</v>
      </c>
      <c r="M24" s="2" t="s">
        <v>915</v>
      </c>
      <c r="N24" s="7" t="s">
        <v>538</v>
      </c>
      <c r="O24" s="2" t="s">
        <v>916</v>
      </c>
      <c r="P24" s="2"/>
    </row>
    <row r="25" spans="1:16" ht="15.75" customHeight="1" x14ac:dyDescent="0.25">
      <c r="A25" s="24" t="s">
        <v>917</v>
      </c>
      <c r="B25" s="24" t="s">
        <v>911</v>
      </c>
      <c r="C25" s="24" t="s">
        <v>819</v>
      </c>
      <c r="D25" s="24" t="s">
        <v>754</v>
      </c>
      <c r="E25" s="24" t="s">
        <v>408</v>
      </c>
      <c r="F25" s="24" t="s">
        <v>409</v>
      </c>
      <c r="G25" s="24" t="s">
        <v>891</v>
      </c>
      <c r="H25" s="24" t="s">
        <v>918</v>
      </c>
      <c r="I25" s="24" t="s">
        <v>919</v>
      </c>
      <c r="J25" s="24" t="s">
        <v>920</v>
      </c>
      <c r="K25" s="24" t="s">
        <v>921</v>
      </c>
      <c r="L25" s="25" t="s">
        <v>67</v>
      </c>
      <c r="M25" s="24" t="s">
        <v>922</v>
      </c>
      <c r="N25" s="7" t="s">
        <v>538</v>
      </c>
      <c r="O25" s="24" t="s">
        <v>923</v>
      </c>
      <c r="P25" s="24"/>
    </row>
    <row r="26" spans="1:16" ht="15.75" customHeight="1" x14ac:dyDescent="0.25">
      <c r="A26" s="2" t="s">
        <v>924</v>
      </c>
      <c r="B26" s="2" t="s">
        <v>925</v>
      </c>
      <c r="C26" s="2" t="s">
        <v>791</v>
      </c>
      <c r="D26" s="2" t="s">
        <v>736</v>
      </c>
      <c r="E26" s="2" t="s">
        <v>373</v>
      </c>
      <c r="F26" s="2" t="s">
        <v>571</v>
      </c>
      <c r="G26" s="2" t="s">
        <v>870</v>
      </c>
      <c r="H26" s="2" t="s">
        <v>926</v>
      </c>
      <c r="I26" s="2" t="s">
        <v>927</v>
      </c>
      <c r="J26" s="2" t="s">
        <v>872</v>
      </c>
      <c r="K26" s="2" t="s">
        <v>928</v>
      </c>
      <c r="L26" s="21" t="s">
        <v>67</v>
      </c>
      <c r="M26" s="2" t="s">
        <v>929</v>
      </c>
      <c r="N26" s="7" t="s">
        <v>538</v>
      </c>
      <c r="O26" s="2" t="s">
        <v>930</v>
      </c>
      <c r="P26" s="2"/>
    </row>
    <row r="27" spans="1:16" ht="15.75" customHeight="1" x14ac:dyDescent="0.25">
      <c r="A27" s="3" t="s">
        <v>931</v>
      </c>
      <c r="B27" s="3" t="s">
        <v>925</v>
      </c>
      <c r="C27" s="3" t="s">
        <v>819</v>
      </c>
      <c r="D27" s="3" t="s">
        <v>728</v>
      </c>
      <c r="E27" s="3" t="s">
        <v>363</v>
      </c>
      <c r="F27" s="3" t="s">
        <v>568</v>
      </c>
      <c r="G27" s="3" t="s">
        <v>792</v>
      </c>
      <c r="H27" s="3" t="s">
        <v>932</v>
      </c>
      <c r="I27" s="3" t="s">
        <v>933</v>
      </c>
      <c r="J27" s="3" t="s">
        <v>934</v>
      </c>
      <c r="K27" s="3" t="s">
        <v>935</v>
      </c>
      <c r="L27" s="22" t="s">
        <v>67</v>
      </c>
      <c r="M27" s="3" t="s">
        <v>936</v>
      </c>
      <c r="N27" s="7" t="s">
        <v>538</v>
      </c>
      <c r="O27" s="3" t="s">
        <v>937</v>
      </c>
      <c r="P27" s="3"/>
    </row>
  </sheetData>
  <mergeCells count="2">
    <mergeCell ref="A1:P1"/>
    <mergeCell ref="A2:P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H15"/>
  <sheetViews>
    <sheetView showGridLines="0" zoomScaleNormal="100" workbookViewId="0">
      <pane ySplit="3" topLeftCell="A4" activePane="bottomLeft" state="frozen"/>
      <selection pane="bottomLeft" activeCell="A12" sqref="A12"/>
    </sheetView>
  </sheetViews>
  <sheetFormatPr defaultColWidth="8.7109375" defaultRowHeight="15" x14ac:dyDescent="0.25"/>
  <cols>
    <col min="1" max="1" width="17" bestFit="1" customWidth="1"/>
    <col min="2" max="2" width="24.140625" bestFit="1" customWidth="1"/>
    <col min="3" max="3" width="55.42578125" bestFit="1" customWidth="1"/>
    <col min="4" max="4" width="85.85546875" bestFit="1" customWidth="1"/>
    <col min="5" max="5" width="21.140625" bestFit="1" customWidth="1"/>
    <col min="6" max="6" width="27.140625" bestFit="1" customWidth="1"/>
    <col min="7" max="7" width="32.7109375" bestFit="1" customWidth="1"/>
    <col min="8" max="8" width="62.85546875" bestFit="1" customWidth="1"/>
  </cols>
  <sheetData>
    <row r="1" spans="1:8" ht="31.5" customHeight="1" x14ac:dyDescent="0.25">
      <c r="A1" s="31" t="s">
        <v>938</v>
      </c>
      <c r="B1" s="31"/>
      <c r="C1" s="31"/>
      <c r="D1" s="31"/>
      <c r="E1" s="31"/>
      <c r="F1" s="31"/>
      <c r="G1" s="31"/>
      <c r="H1" s="31"/>
    </row>
    <row r="2" spans="1:8" ht="30" customHeight="1" x14ac:dyDescent="0.25">
      <c r="A2" s="32" t="s">
        <v>939</v>
      </c>
      <c r="B2" s="32"/>
      <c r="C2" s="32"/>
      <c r="D2" s="32"/>
      <c r="E2" s="32"/>
      <c r="F2" s="32"/>
      <c r="G2" s="32"/>
      <c r="H2" s="32"/>
    </row>
    <row r="3" spans="1:8" ht="15.75" customHeight="1" x14ac:dyDescent="0.25">
      <c r="A3" s="4" t="s">
        <v>940</v>
      </c>
      <c r="B3" s="4" t="s">
        <v>941</v>
      </c>
      <c r="C3" s="4" t="s">
        <v>942</v>
      </c>
      <c r="D3" s="4" t="s">
        <v>943</v>
      </c>
      <c r="E3" s="4" t="s">
        <v>944</v>
      </c>
      <c r="F3" s="4" t="s">
        <v>945</v>
      </c>
      <c r="G3" s="4" t="s">
        <v>946</v>
      </c>
      <c r="H3" s="4" t="s">
        <v>60</v>
      </c>
    </row>
    <row r="4" spans="1:8" ht="15.75" customHeight="1" x14ac:dyDescent="0.25">
      <c r="A4" s="2" t="s">
        <v>947</v>
      </c>
      <c r="B4" s="2" t="s">
        <v>948</v>
      </c>
      <c r="C4" s="2" t="s">
        <v>949</v>
      </c>
      <c r="D4" s="2" t="s">
        <v>950</v>
      </c>
      <c r="E4" s="8" t="s">
        <v>951</v>
      </c>
      <c r="F4" s="12" t="s">
        <v>952</v>
      </c>
      <c r="G4" s="2" t="s">
        <v>953</v>
      </c>
      <c r="H4" s="2" t="s">
        <v>954</v>
      </c>
    </row>
    <row r="5" spans="1:8" ht="15.75" customHeight="1" x14ac:dyDescent="0.25">
      <c r="A5" s="3" t="s">
        <v>955</v>
      </c>
      <c r="B5" s="3" t="s">
        <v>948</v>
      </c>
      <c r="C5" s="3" t="s">
        <v>956</v>
      </c>
      <c r="D5" s="3" t="s">
        <v>957</v>
      </c>
      <c r="E5" s="8" t="s">
        <v>951</v>
      </c>
      <c r="F5" s="12" t="s">
        <v>952</v>
      </c>
      <c r="G5" s="3" t="s">
        <v>958</v>
      </c>
      <c r="H5" s="3" t="s">
        <v>959</v>
      </c>
    </row>
    <row r="6" spans="1:8" ht="15.75" customHeight="1" x14ac:dyDescent="0.25">
      <c r="A6" s="2" t="s">
        <v>960</v>
      </c>
      <c r="B6" s="2" t="s">
        <v>480</v>
      </c>
      <c r="C6" s="2" t="s">
        <v>961</v>
      </c>
      <c r="D6" s="2" t="s">
        <v>962</v>
      </c>
      <c r="E6" s="8" t="s">
        <v>461</v>
      </c>
      <c r="F6" s="12" t="s">
        <v>67</v>
      </c>
      <c r="G6" s="2" t="s">
        <v>963</v>
      </c>
      <c r="H6" s="2" t="s">
        <v>964</v>
      </c>
    </row>
    <row r="7" spans="1:8" ht="15.75" customHeight="1" x14ac:dyDescent="0.25">
      <c r="A7" s="3" t="s">
        <v>965</v>
      </c>
      <c r="B7" s="3" t="s">
        <v>966</v>
      </c>
      <c r="C7" s="3" t="s">
        <v>967</v>
      </c>
      <c r="D7" s="3" t="s">
        <v>968</v>
      </c>
      <c r="E7" s="8" t="s">
        <v>461</v>
      </c>
      <c r="F7" s="12" t="s">
        <v>67</v>
      </c>
      <c r="G7" s="3" t="s">
        <v>969</v>
      </c>
      <c r="H7" s="3" t="s">
        <v>970</v>
      </c>
    </row>
    <row r="8" spans="1:8" ht="15.75" customHeight="1" x14ac:dyDescent="0.25">
      <c r="A8" s="2" t="s">
        <v>971</v>
      </c>
      <c r="B8" s="2" t="s">
        <v>972</v>
      </c>
      <c r="C8" s="2" t="s">
        <v>973</v>
      </c>
      <c r="D8" s="2" t="s">
        <v>974</v>
      </c>
      <c r="E8" s="8" t="s">
        <v>461</v>
      </c>
      <c r="F8" s="12" t="s">
        <v>67</v>
      </c>
      <c r="G8" s="2" t="s">
        <v>975</v>
      </c>
      <c r="H8" s="2" t="s">
        <v>976</v>
      </c>
    </row>
    <row r="9" spans="1:8" ht="15.75" customHeight="1" x14ac:dyDescent="0.25">
      <c r="A9" s="3" t="s">
        <v>977</v>
      </c>
      <c r="B9" s="3" t="s">
        <v>978</v>
      </c>
      <c r="C9" s="3" t="s">
        <v>979</v>
      </c>
      <c r="D9" s="3" t="s">
        <v>980</v>
      </c>
      <c r="E9" s="8" t="s">
        <v>461</v>
      </c>
      <c r="F9" s="12" t="s">
        <v>67</v>
      </c>
      <c r="G9" s="3" t="s">
        <v>981</v>
      </c>
      <c r="H9" s="3" t="s">
        <v>982</v>
      </c>
    </row>
    <row r="10" spans="1:8" ht="15.75" customHeight="1" x14ac:dyDescent="0.25">
      <c r="A10" s="2" t="s">
        <v>983</v>
      </c>
      <c r="B10" s="2" t="s">
        <v>984</v>
      </c>
      <c r="C10" s="2" t="s">
        <v>985</v>
      </c>
      <c r="D10" s="2" t="s">
        <v>986</v>
      </c>
      <c r="E10" s="8" t="s">
        <v>461</v>
      </c>
      <c r="F10" s="12" t="s">
        <v>67</v>
      </c>
      <c r="G10" s="2" t="s">
        <v>987</v>
      </c>
      <c r="H10" s="2" t="s">
        <v>988</v>
      </c>
    </row>
    <row r="11" spans="1:8" ht="15.75" customHeight="1" x14ac:dyDescent="0.25">
      <c r="A11" s="3" t="s">
        <v>989</v>
      </c>
      <c r="B11" s="3" t="s">
        <v>501</v>
      </c>
      <c r="C11" s="3" t="s">
        <v>990</v>
      </c>
      <c r="D11" s="3" t="s">
        <v>986</v>
      </c>
      <c r="E11" s="8" t="s">
        <v>461</v>
      </c>
      <c r="F11" s="12" t="s">
        <v>67</v>
      </c>
      <c r="G11" s="3" t="s">
        <v>991</v>
      </c>
      <c r="H11" s="3" t="s">
        <v>992</v>
      </c>
    </row>
    <row r="12" spans="1:8" ht="15.75" customHeight="1" x14ac:dyDescent="0.25">
      <c r="A12" s="2" t="s">
        <v>993</v>
      </c>
      <c r="B12" s="2" t="s">
        <v>994</v>
      </c>
      <c r="C12" s="2" t="s">
        <v>995</v>
      </c>
      <c r="D12" s="2" t="s">
        <v>996</v>
      </c>
      <c r="E12" s="8" t="s">
        <v>997</v>
      </c>
      <c r="F12" s="12" t="s">
        <v>998</v>
      </c>
      <c r="G12" s="2" t="s">
        <v>999</v>
      </c>
      <c r="H12" s="2" t="s">
        <v>1000</v>
      </c>
    </row>
    <row r="13" spans="1:8" ht="15.75" customHeight="1" x14ac:dyDescent="0.25">
      <c r="A13" s="3" t="s">
        <v>1001</v>
      </c>
      <c r="B13" s="3" t="s">
        <v>1002</v>
      </c>
      <c r="C13" s="3" t="s">
        <v>1003</v>
      </c>
      <c r="D13" s="3" t="s">
        <v>1004</v>
      </c>
      <c r="E13" s="8" t="s">
        <v>461</v>
      </c>
      <c r="F13" s="12" t="s">
        <v>67</v>
      </c>
      <c r="G13" s="3" t="s">
        <v>1005</v>
      </c>
      <c r="H13" s="3" t="s">
        <v>1006</v>
      </c>
    </row>
    <row r="14" spans="1:8" ht="15.75" customHeight="1" x14ac:dyDescent="0.25">
      <c r="A14" s="2" t="s">
        <v>1007</v>
      </c>
      <c r="B14" s="2" t="s">
        <v>480</v>
      </c>
      <c r="C14" s="2" t="s">
        <v>1008</v>
      </c>
      <c r="D14" s="2" t="s">
        <v>1004</v>
      </c>
      <c r="E14" s="8" t="s">
        <v>461</v>
      </c>
      <c r="F14" s="12" t="s">
        <v>67</v>
      </c>
      <c r="G14" s="2" t="s">
        <v>1009</v>
      </c>
      <c r="H14" s="2" t="s">
        <v>1010</v>
      </c>
    </row>
    <row r="15" spans="1:8" ht="15.75" customHeight="1" x14ac:dyDescent="0.25">
      <c r="A15" s="3" t="s">
        <v>1011</v>
      </c>
      <c r="B15" s="3" t="s">
        <v>1012</v>
      </c>
      <c r="C15" s="3" t="s">
        <v>1013</v>
      </c>
      <c r="D15" s="3" t="s">
        <v>1014</v>
      </c>
      <c r="E15" s="8" t="s">
        <v>461</v>
      </c>
      <c r="F15" s="12" t="s">
        <v>67</v>
      </c>
      <c r="G15" s="3" t="s">
        <v>1015</v>
      </c>
      <c r="H15" s="3" t="s">
        <v>1016</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F25"/>
  <sheetViews>
    <sheetView showGridLines="0" zoomScaleNormal="100" workbookViewId="0">
      <selection activeCell="A7" sqref="A7:A12"/>
    </sheetView>
  </sheetViews>
  <sheetFormatPr defaultColWidth="8.7109375" defaultRowHeight="15" x14ac:dyDescent="0.25"/>
  <cols>
    <col min="1" max="1" width="27.7109375" bestFit="1" customWidth="1"/>
    <col min="2" max="2" width="81.140625" bestFit="1" customWidth="1"/>
    <col min="3" max="3" width="69.28515625" bestFit="1" customWidth="1"/>
    <col min="4" max="4" width="57.28515625" bestFit="1" customWidth="1"/>
    <col min="5" max="5" width="56.85546875" bestFit="1" customWidth="1"/>
    <col min="6" max="6" width="15" customWidth="1"/>
  </cols>
  <sheetData>
    <row r="1" spans="1:6" ht="31.5" customHeight="1" x14ac:dyDescent="0.25">
      <c r="A1" s="31" t="s">
        <v>1017</v>
      </c>
      <c r="B1" s="31"/>
      <c r="C1" s="31"/>
      <c r="D1" s="31"/>
      <c r="E1" s="31"/>
      <c r="F1" s="31"/>
    </row>
    <row r="2" spans="1:6" ht="30" customHeight="1" x14ac:dyDescent="0.25">
      <c r="A2" s="32" t="s">
        <v>1018</v>
      </c>
      <c r="B2" s="32"/>
      <c r="C2" s="32"/>
      <c r="D2" s="32"/>
      <c r="E2" s="32"/>
      <c r="F2" s="32"/>
    </row>
    <row r="3" spans="1:6" ht="15.75" customHeight="1" x14ac:dyDescent="0.25"/>
    <row r="4" spans="1:6" ht="15.75" customHeight="1" x14ac:dyDescent="0.25">
      <c r="A4" s="33" t="s">
        <v>1019</v>
      </c>
      <c r="B4" s="33"/>
      <c r="C4" s="33"/>
      <c r="D4" s="33"/>
      <c r="E4" s="33"/>
      <c r="F4" s="33"/>
    </row>
    <row r="5" spans="1:6" ht="15.75" customHeight="1" x14ac:dyDescent="0.25">
      <c r="A5" s="28" t="s">
        <v>1020</v>
      </c>
      <c r="B5" s="28" t="s">
        <v>56</v>
      </c>
      <c r="C5" s="28" t="s">
        <v>1021</v>
      </c>
      <c r="D5" s="28" t="s">
        <v>1022</v>
      </c>
      <c r="E5" s="28" t="s">
        <v>1023</v>
      </c>
      <c r="F5" s="28"/>
    </row>
    <row r="6" spans="1:6" ht="15.75" customHeight="1" x14ac:dyDescent="0.25">
      <c r="A6" s="24" t="s">
        <v>1024</v>
      </c>
      <c r="B6" s="24" t="s">
        <v>1025</v>
      </c>
      <c r="C6" s="24" t="s">
        <v>1026</v>
      </c>
      <c r="D6" s="24" t="s">
        <v>1027</v>
      </c>
      <c r="E6" s="24" t="s">
        <v>1028</v>
      </c>
      <c r="F6" s="24"/>
    </row>
    <row r="7" spans="1:6" ht="15.75" customHeight="1" x14ac:dyDescent="0.25">
      <c r="A7" s="3" t="s">
        <v>1029</v>
      </c>
      <c r="B7" s="3" t="s">
        <v>1030</v>
      </c>
      <c r="C7" s="3" t="s">
        <v>1031</v>
      </c>
      <c r="D7" s="3" t="s">
        <v>1032</v>
      </c>
      <c r="E7" s="3" t="s">
        <v>1033</v>
      </c>
      <c r="F7" s="3"/>
    </row>
    <row r="8" spans="1:6" ht="15.75" customHeight="1" x14ac:dyDescent="0.25">
      <c r="A8" s="24" t="s">
        <v>1034</v>
      </c>
      <c r="B8" s="24" t="s">
        <v>1035</v>
      </c>
      <c r="C8" s="24" t="s">
        <v>1036</v>
      </c>
      <c r="D8" s="24" t="s">
        <v>1037</v>
      </c>
      <c r="E8" s="24" t="s">
        <v>1038</v>
      </c>
      <c r="F8" s="24"/>
    </row>
    <row r="9" spans="1:6" ht="15.75" customHeight="1" x14ac:dyDescent="0.25">
      <c r="A9" s="3" t="s">
        <v>1039</v>
      </c>
      <c r="B9" s="3" t="s">
        <v>1040</v>
      </c>
      <c r="C9" s="3" t="s">
        <v>1041</v>
      </c>
      <c r="D9" s="3" t="s">
        <v>1042</v>
      </c>
      <c r="E9" s="3" t="s">
        <v>1043</v>
      </c>
      <c r="F9" s="3"/>
    </row>
    <row r="10" spans="1:6" ht="15.75" customHeight="1" x14ac:dyDescent="0.25">
      <c r="A10" s="24" t="s">
        <v>1044</v>
      </c>
      <c r="B10" s="24" t="s">
        <v>1045</v>
      </c>
      <c r="C10" s="24" t="s">
        <v>1046</v>
      </c>
      <c r="D10" s="24" t="s">
        <v>1047</v>
      </c>
      <c r="E10" s="24" t="s">
        <v>1048</v>
      </c>
      <c r="F10" s="24"/>
    </row>
    <row r="11" spans="1:6" ht="15.75" customHeight="1" x14ac:dyDescent="0.25">
      <c r="A11" s="3" t="s">
        <v>1049</v>
      </c>
      <c r="B11" s="3" t="s">
        <v>1050</v>
      </c>
      <c r="C11" s="3" t="s">
        <v>1051</v>
      </c>
      <c r="D11" s="3" t="s">
        <v>1052</v>
      </c>
      <c r="E11" s="3" t="s">
        <v>1053</v>
      </c>
      <c r="F11" s="3"/>
    </row>
    <row r="12" spans="1:6" ht="15.75" customHeight="1" x14ac:dyDescent="0.25">
      <c r="A12" s="24" t="s">
        <v>1054</v>
      </c>
      <c r="B12" s="24" t="s">
        <v>1055</v>
      </c>
      <c r="C12" s="24" t="s">
        <v>1056</v>
      </c>
      <c r="D12" s="24" t="s">
        <v>1057</v>
      </c>
      <c r="E12" s="24" t="s">
        <v>1058</v>
      </c>
      <c r="F12" s="24"/>
    </row>
    <row r="13" spans="1:6" ht="15.75" customHeight="1" x14ac:dyDescent="0.25"/>
    <row r="14" spans="1:6" ht="15.75" customHeight="1" x14ac:dyDescent="0.25"/>
    <row r="15" spans="1:6" ht="15.75" customHeight="1" x14ac:dyDescent="0.25"/>
    <row r="16" spans="1:6" ht="15.75" customHeight="1" x14ac:dyDescent="0.25">
      <c r="A16" s="34" t="s">
        <v>1059</v>
      </c>
      <c r="B16" s="34"/>
      <c r="C16" s="34"/>
      <c r="D16" s="34"/>
      <c r="E16" s="34"/>
      <c r="F16" s="34"/>
    </row>
    <row r="17" spans="1:6" ht="15.75" customHeight="1" x14ac:dyDescent="0.25">
      <c r="A17" s="29" t="s">
        <v>1020</v>
      </c>
      <c r="B17" s="29" t="s">
        <v>1060</v>
      </c>
      <c r="C17" s="29" t="s">
        <v>1061</v>
      </c>
      <c r="D17" s="29" t="s">
        <v>1062</v>
      </c>
      <c r="E17" s="29"/>
      <c r="F17" s="29"/>
    </row>
    <row r="18" spans="1:6" ht="15.75" customHeight="1" x14ac:dyDescent="0.25">
      <c r="A18" s="30" t="s">
        <v>1063</v>
      </c>
      <c r="B18" s="30" t="s">
        <v>1064</v>
      </c>
      <c r="C18" s="30" t="s">
        <v>1065</v>
      </c>
      <c r="D18" s="30" t="s">
        <v>1066</v>
      </c>
      <c r="E18" s="30"/>
      <c r="F18" s="30"/>
    </row>
    <row r="19" spans="1:6" ht="15.75" customHeight="1" x14ac:dyDescent="0.25">
      <c r="A19" s="3" t="s">
        <v>1067</v>
      </c>
      <c r="B19" s="3" t="s">
        <v>1068</v>
      </c>
      <c r="C19" s="3" t="s">
        <v>1069</v>
      </c>
      <c r="D19" s="3" t="s">
        <v>1070</v>
      </c>
      <c r="E19" s="3"/>
      <c r="F19" s="3"/>
    </row>
    <row r="20" spans="1:6" ht="15.75" customHeight="1" x14ac:dyDescent="0.25">
      <c r="A20" s="30" t="s">
        <v>1071</v>
      </c>
      <c r="B20" s="30" t="s">
        <v>1072</v>
      </c>
      <c r="C20" s="30" t="s">
        <v>1073</v>
      </c>
      <c r="D20" s="30" t="s">
        <v>1074</v>
      </c>
      <c r="E20" s="30"/>
      <c r="F20" s="30"/>
    </row>
    <row r="21" spans="1:6" ht="15.75" customHeight="1" x14ac:dyDescent="0.25">
      <c r="A21" s="3" t="s">
        <v>1075</v>
      </c>
      <c r="B21" s="3" t="s">
        <v>1076</v>
      </c>
      <c r="C21" s="3" t="s">
        <v>1077</v>
      </c>
      <c r="D21" s="3" t="s">
        <v>1078</v>
      </c>
      <c r="E21" s="3"/>
      <c r="F21" s="3"/>
    </row>
    <row r="22" spans="1:6" ht="15.75" customHeight="1" x14ac:dyDescent="0.25">
      <c r="A22" s="30" t="s">
        <v>1079</v>
      </c>
      <c r="B22" s="30" t="s">
        <v>1080</v>
      </c>
      <c r="C22" s="30" t="s">
        <v>1081</v>
      </c>
      <c r="D22" s="30" t="s">
        <v>1082</v>
      </c>
      <c r="E22" s="30"/>
      <c r="F22" s="30"/>
    </row>
    <row r="23" spans="1:6" ht="15.75" customHeight="1" x14ac:dyDescent="0.25">
      <c r="A23" s="3" t="s">
        <v>1083</v>
      </c>
      <c r="B23" s="3" t="s">
        <v>1084</v>
      </c>
      <c r="C23" s="3" t="s">
        <v>1085</v>
      </c>
      <c r="D23" s="3" t="s">
        <v>1086</v>
      </c>
      <c r="E23" s="3"/>
      <c r="F23" s="3"/>
    </row>
    <row r="24" spans="1:6" ht="15.75" customHeight="1" x14ac:dyDescent="0.25">
      <c r="A24" s="30" t="s">
        <v>1087</v>
      </c>
      <c r="B24" s="30" t="s">
        <v>1088</v>
      </c>
      <c r="C24" s="30" t="s">
        <v>1089</v>
      </c>
      <c r="D24" s="30" t="s">
        <v>1090</v>
      </c>
      <c r="E24" s="30"/>
      <c r="F24" s="30"/>
    </row>
    <row r="25" spans="1:6" ht="15.75" customHeight="1" x14ac:dyDescent="0.25">
      <c r="A25" s="3" t="s">
        <v>1091</v>
      </c>
      <c r="B25" s="3" t="s">
        <v>1092</v>
      </c>
      <c r="C25" s="3" t="s">
        <v>1093</v>
      </c>
      <c r="D25" s="3" t="s">
        <v>1094</v>
      </c>
      <c r="E25" s="3"/>
      <c r="F25" s="3"/>
    </row>
  </sheetData>
  <mergeCells count="4">
    <mergeCell ref="A1:F1"/>
    <mergeCell ref="A2:F2"/>
    <mergeCell ref="A4:F4"/>
    <mergeCell ref="A16:F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Equipment_Model</vt:lpstr>
      <vt:lpstr>Material_Classes</vt:lpstr>
      <vt:lpstr>Material_Defs</vt:lpstr>
      <vt:lpstr>Material_Lots</vt:lpstr>
      <vt:lpstr>Resources</vt:lpstr>
      <vt:lpstr>Process_Segments</vt:lpstr>
      <vt:lpstr>Work_Masters</vt:lpstr>
      <vt:lpstr>Production_Schedule</vt:lpstr>
      <vt:lpstr>KPI_Truth_Table</vt:lpstr>
      <vt:lpstr>Scope_Boundaries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Mark O'Donovan</cp:lastModifiedBy>
  <cp:revision>0</cp:revision>
  <dcterms:created xsi:type="dcterms:W3CDTF">2026-02-26T09:49:39Z</dcterms:created>
  <dcterms:modified xsi:type="dcterms:W3CDTF">2026-02-28T17:25:13Z</dcterms:modified>
  <dc:language>en-US</dc:language>
</cp:coreProperties>
</file>